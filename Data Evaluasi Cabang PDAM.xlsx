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Nando\Project Magang\File Data Magang\"/>
    </mc:Choice>
  </mc:AlternateContent>
  <xr:revisionPtr revIDLastSave="0" documentId="13_ncr:1_{3B3FD8DB-B2FF-4276-9BD2-7924ABE819D1}" xr6:coauthVersionLast="47" xr6:coauthVersionMax="47" xr10:uidLastSave="{00000000-0000-0000-0000-000000000000}"/>
  <bookViews>
    <workbookView xWindow="30" yWindow="30" windowWidth="20460" windowHeight="11490" activeTab="1" xr2:uid="{4EEB3EA7-7F66-4F3A-A9D9-212E6C64AD96}"/>
  </bookViews>
  <sheets>
    <sheet name="Januari" sheetId="1" r:id="rId1"/>
    <sheet name="Januari Per Hari" sheetId="2" r:id="rId2"/>
    <sheet name="Februari" sheetId="4" r:id="rId3"/>
    <sheet name="Februari Per Hari " sheetId="5" r:id="rId4"/>
    <sheet name="Maret" sheetId="7" r:id="rId5"/>
    <sheet name="Maret Per Hari" sheetId="8" r:id="rId6"/>
    <sheet name="April" sheetId="9" r:id="rId7"/>
    <sheet name="April Per Hari" sheetId="10" r:id="rId8"/>
    <sheet name="Mei" sheetId="11" r:id="rId9"/>
    <sheet name="Mei Per Hari" sheetId="12" r:id="rId10"/>
    <sheet name="Juni" sheetId="13" r:id="rId11"/>
    <sheet name="Juni Per Hari" sheetId="14" r:id="rId12"/>
    <sheet name="Juli" sheetId="15" r:id="rId13"/>
    <sheet name="Juli Per Hari" sheetId="16" r:id="rId14"/>
    <sheet name="Agustus" sheetId="17" r:id="rId15"/>
    <sheet name="Agustus Per Hari" sheetId="18" r:id="rId16"/>
    <sheet name="September" sheetId="19" r:id="rId17"/>
    <sheet name="September Per Hari" sheetId="20" r:id="rId18"/>
  </sheets>
  <externalReferences>
    <externalReference r:id="rId19"/>
  </externalReferences>
  <definedNames>
    <definedName name="_xlcn.WorksheetConnection_VisualisasiC3C101" hidden="1">[1]Visualisasi!$C$3:$C$10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Visualisasi!$C$3:$C$10"/>
        </x15:modelTables>
      </x15:dataModel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J3" i="2"/>
  <c r="L3" i="2" s="1"/>
  <c r="J4" i="2"/>
  <c r="J5" i="2"/>
  <c r="J6" i="2"/>
  <c r="J7" i="2"/>
  <c r="L7" i="2" s="1"/>
  <c r="J8" i="2"/>
  <c r="L8" i="2" s="1"/>
  <c r="K2" i="2"/>
  <c r="J2" i="2"/>
  <c r="I3" i="2"/>
  <c r="I4" i="2"/>
  <c r="I5" i="2"/>
  <c r="I6" i="2"/>
  <c r="I7" i="2"/>
  <c r="I8" i="2"/>
  <c r="H3" i="2"/>
  <c r="H4" i="2"/>
  <c r="H5" i="2"/>
  <c r="H6" i="2"/>
  <c r="H7" i="2"/>
  <c r="H8" i="2"/>
  <c r="I2" i="2"/>
  <c r="H2" i="2"/>
  <c r="H9" i="2" s="1"/>
  <c r="E3" i="2"/>
  <c r="E4" i="2"/>
  <c r="E5" i="2"/>
  <c r="E6" i="2"/>
  <c r="F6" i="2" s="1"/>
  <c r="G6" i="2" s="1"/>
  <c r="E7" i="2"/>
  <c r="E8" i="2"/>
  <c r="E2" i="2"/>
  <c r="F2" i="2" s="1"/>
  <c r="D3" i="2"/>
  <c r="D4" i="2"/>
  <c r="D5" i="2"/>
  <c r="D6" i="2"/>
  <c r="D7" i="2"/>
  <c r="D8" i="2"/>
  <c r="D2" i="2"/>
  <c r="R9" i="2"/>
  <c r="Q9" i="2"/>
  <c r="N9" i="2"/>
  <c r="M9" i="2"/>
  <c r="C9" i="2"/>
  <c r="B9" i="2"/>
  <c r="U8" i="2"/>
  <c r="W8" i="2" s="1"/>
  <c r="T8" i="2"/>
  <c r="V8" i="2" s="1"/>
  <c r="S8" i="2"/>
  <c r="O8" i="2"/>
  <c r="P8" i="2" s="1"/>
  <c r="U7" i="2"/>
  <c r="W7" i="2" s="1"/>
  <c r="T7" i="2"/>
  <c r="V7" i="2" s="1"/>
  <c r="S7" i="2"/>
  <c r="O7" i="2"/>
  <c r="P7" i="2" s="1"/>
  <c r="U6" i="2"/>
  <c r="W6" i="2" s="1"/>
  <c r="T6" i="2"/>
  <c r="V6" i="2" s="1"/>
  <c r="S6" i="2"/>
  <c r="O6" i="2"/>
  <c r="P6" i="2" s="1"/>
  <c r="U5" i="2"/>
  <c r="W5" i="2" s="1"/>
  <c r="T5" i="2"/>
  <c r="V5" i="2" s="1"/>
  <c r="S5" i="2"/>
  <c r="O5" i="2"/>
  <c r="P5" i="2" s="1"/>
  <c r="L5" i="2"/>
  <c r="V4" i="2"/>
  <c r="U4" i="2"/>
  <c r="W4" i="2" s="1"/>
  <c r="T4" i="2"/>
  <c r="S4" i="2"/>
  <c r="O4" i="2"/>
  <c r="P4" i="2" s="1"/>
  <c r="F4" i="2"/>
  <c r="G4" i="2" s="1"/>
  <c r="U3" i="2"/>
  <c r="W3" i="2" s="1"/>
  <c r="T3" i="2"/>
  <c r="V3" i="2" s="1"/>
  <c r="S3" i="2"/>
  <c r="P3" i="2"/>
  <c r="O3" i="2"/>
  <c r="W2" i="2"/>
  <c r="V2" i="2"/>
  <c r="U2" i="2"/>
  <c r="T2" i="2"/>
  <c r="S2" i="2"/>
  <c r="P2" i="2"/>
  <c r="O2" i="2"/>
  <c r="L2" i="2"/>
  <c r="T9" i="2" l="1"/>
  <c r="F8" i="2"/>
  <c r="G8" i="2" s="1"/>
  <c r="U9" i="2"/>
  <c r="F7" i="2"/>
  <c r="G7" i="2" s="1"/>
  <c r="F3" i="2"/>
  <c r="G3" i="2" s="1"/>
  <c r="D9" i="2"/>
  <c r="I9" i="2"/>
  <c r="J9" i="2"/>
  <c r="L4" i="2"/>
  <c r="K9" i="2"/>
  <c r="F5" i="2"/>
  <c r="G5" i="2" s="1"/>
  <c r="L6" i="2"/>
  <c r="E9" i="2"/>
  <c r="G2" i="2"/>
  <c r="R9" i="15" l="1"/>
  <c r="Q9" i="15"/>
  <c r="N9" i="15"/>
  <c r="M9" i="15"/>
  <c r="R9" i="13"/>
  <c r="Q9" i="13"/>
  <c r="N9" i="13"/>
  <c r="M9" i="13"/>
  <c r="R9" i="11"/>
  <c r="Q9" i="11"/>
  <c r="N9" i="11"/>
  <c r="M9" i="11"/>
  <c r="R9" i="9" l="1"/>
  <c r="Q9" i="9"/>
  <c r="N9" i="9"/>
  <c r="M9" i="9"/>
  <c r="R9" i="7"/>
  <c r="Q9" i="7"/>
  <c r="N9" i="7"/>
  <c r="M9" i="7"/>
  <c r="R9" i="17"/>
  <c r="Q9" i="17"/>
  <c r="N9" i="17"/>
  <c r="M9" i="17"/>
  <c r="R9" i="19"/>
  <c r="Q9" i="19"/>
  <c r="N9" i="19"/>
  <c r="M9" i="19"/>
  <c r="N9" i="4"/>
  <c r="M9" i="4"/>
  <c r="R9" i="1" l="1"/>
  <c r="Q9" i="1"/>
  <c r="N9" i="1"/>
  <c r="M9" i="1"/>
  <c r="K9" i="1"/>
  <c r="J9" i="1"/>
  <c r="I9" i="1"/>
  <c r="H9" i="1"/>
  <c r="E9" i="1"/>
  <c r="D9" i="1"/>
  <c r="C9" i="1"/>
  <c r="B9" i="1"/>
  <c r="U8" i="1"/>
  <c r="W8" i="1" s="1"/>
  <c r="T8" i="1"/>
  <c r="V8" i="1" s="1"/>
  <c r="S8" i="1"/>
  <c r="O8" i="1"/>
  <c r="P8" i="1" s="1"/>
  <c r="L8" i="1"/>
  <c r="F8" i="1"/>
  <c r="G8" i="1" s="1"/>
  <c r="U7" i="1"/>
  <c r="W7" i="1" s="1"/>
  <c r="T7" i="1"/>
  <c r="V7" i="1" s="1"/>
  <c r="S7" i="1"/>
  <c r="O7" i="1"/>
  <c r="P7" i="1" s="1"/>
  <c r="L7" i="1"/>
  <c r="F7" i="1"/>
  <c r="G7" i="1" s="1"/>
  <c r="U6" i="1"/>
  <c r="W6" i="1" s="1"/>
  <c r="T6" i="1"/>
  <c r="V6" i="1" s="1"/>
  <c r="S6" i="1"/>
  <c r="O6" i="1"/>
  <c r="P6" i="1" s="1"/>
  <c r="L6" i="1"/>
  <c r="F6" i="1"/>
  <c r="G6" i="1" s="1"/>
  <c r="U5" i="1"/>
  <c r="W5" i="1" s="1"/>
  <c r="T5" i="1"/>
  <c r="V5" i="1" s="1"/>
  <c r="S5" i="1"/>
  <c r="O5" i="1"/>
  <c r="P5" i="1" s="1"/>
  <c r="L5" i="1"/>
  <c r="F5" i="1"/>
  <c r="G5" i="1" s="1"/>
  <c r="U4" i="1"/>
  <c r="W4" i="1" s="1"/>
  <c r="T4" i="1"/>
  <c r="V4" i="1" s="1"/>
  <c r="S4" i="1"/>
  <c r="P4" i="1"/>
  <c r="O4" i="1"/>
  <c r="L4" i="1"/>
  <c r="F4" i="1"/>
  <c r="G4" i="1" s="1"/>
  <c r="U3" i="1"/>
  <c r="W3" i="1" s="1"/>
  <c r="T3" i="1"/>
  <c r="V3" i="1" s="1"/>
  <c r="S3" i="1"/>
  <c r="O3" i="1"/>
  <c r="P3" i="1" s="1"/>
  <c r="L3" i="1"/>
  <c r="F3" i="1"/>
  <c r="G3" i="1" s="1"/>
  <c r="U2" i="1"/>
  <c r="W2" i="1" s="1"/>
  <c r="T2" i="1"/>
  <c r="T9" i="1" s="1"/>
  <c r="S2" i="1"/>
  <c r="O2" i="1"/>
  <c r="P2" i="1" s="1"/>
  <c r="L2" i="1"/>
  <c r="F2" i="1"/>
  <c r="G2" i="1" s="1"/>
  <c r="D2" i="12"/>
  <c r="D3" i="12"/>
  <c r="D4" i="12"/>
  <c r="D5" i="12"/>
  <c r="D6" i="12"/>
  <c r="D7" i="12"/>
  <c r="D8" i="12"/>
  <c r="K2" i="10"/>
  <c r="J2" i="10"/>
  <c r="D2" i="5"/>
  <c r="T2" i="4"/>
  <c r="S3" i="4"/>
  <c r="O2" i="4"/>
  <c r="P2" i="4" s="1"/>
  <c r="L2" i="4"/>
  <c r="H9" i="4"/>
  <c r="F2" i="4"/>
  <c r="G2" i="4" s="1"/>
  <c r="F3" i="4"/>
  <c r="F4" i="4"/>
  <c r="G4" i="4" s="1"/>
  <c r="F5" i="4"/>
  <c r="F6" i="4"/>
  <c r="F7" i="4"/>
  <c r="F8" i="4"/>
  <c r="H2" i="5"/>
  <c r="U9" i="1" l="1"/>
  <c r="V2" i="1"/>
  <c r="R3" i="20"/>
  <c r="R4" i="20"/>
  <c r="R5" i="20"/>
  <c r="R6" i="20"/>
  <c r="R7" i="20"/>
  <c r="R8" i="20"/>
  <c r="S8" i="20" s="1"/>
  <c r="R2" i="20"/>
  <c r="Q3" i="20"/>
  <c r="Q4" i="20"/>
  <c r="Q5" i="20"/>
  <c r="S5" i="20" s="1"/>
  <c r="Q6" i="20"/>
  <c r="Q7" i="20"/>
  <c r="Q8" i="20"/>
  <c r="Q2" i="20"/>
  <c r="N3" i="20"/>
  <c r="N4" i="20"/>
  <c r="N5" i="20"/>
  <c r="N6" i="20"/>
  <c r="N7" i="20"/>
  <c r="N8" i="20"/>
  <c r="N2" i="20"/>
  <c r="M3" i="20"/>
  <c r="T3" i="20" s="1"/>
  <c r="V3" i="20" s="1"/>
  <c r="M4" i="20"/>
  <c r="M5" i="20"/>
  <c r="M6" i="20"/>
  <c r="M7" i="20"/>
  <c r="O7" i="20" s="1"/>
  <c r="P7" i="20" s="1"/>
  <c r="M8" i="20"/>
  <c r="M2" i="20"/>
  <c r="K3" i="20"/>
  <c r="K4" i="20"/>
  <c r="K5" i="20"/>
  <c r="K6" i="20"/>
  <c r="K7" i="20"/>
  <c r="K8" i="20"/>
  <c r="K2" i="20"/>
  <c r="J3" i="20"/>
  <c r="J4" i="20"/>
  <c r="J5" i="20"/>
  <c r="L5" i="20" s="1"/>
  <c r="J6" i="20"/>
  <c r="J7" i="20"/>
  <c r="J8" i="20"/>
  <c r="J2" i="20"/>
  <c r="L2" i="20" s="1"/>
  <c r="I3" i="20"/>
  <c r="I4" i="20"/>
  <c r="I5" i="20"/>
  <c r="I6" i="20"/>
  <c r="I7" i="20"/>
  <c r="I8" i="20"/>
  <c r="I2" i="20"/>
  <c r="H3" i="20"/>
  <c r="H4" i="20"/>
  <c r="H5" i="20"/>
  <c r="H6" i="20"/>
  <c r="H7" i="20"/>
  <c r="H8" i="20"/>
  <c r="H2" i="20"/>
  <c r="E3" i="20"/>
  <c r="E4" i="20"/>
  <c r="E9" i="20" s="1"/>
  <c r="E5" i="20"/>
  <c r="E6" i="20"/>
  <c r="E7" i="20"/>
  <c r="E8" i="20"/>
  <c r="E2" i="20"/>
  <c r="D3" i="20"/>
  <c r="D4" i="20"/>
  <c r="D5" i="20"/>
  <c r="D6" i="20"/>
  <c r="D7" i="20"/>
  <c r="D8" i="20"/>
  <c r="D2" i="20"/>
  <c r="C9" i="20"/>
  <c r="B9" i="20"/>
  <c r="U7" i="20"/>
  <c r="S7" i="20"/>
  <c r="T4" i="20"/>
  <c r="V4" i="20" s="1"/>
  <c r="O4" i="20"/>
  <c r="P4" i="20" s="1"/>
  <c r="U3" i="20"/>
  <c r="S3" i="20"/>
  <c r="L3" i="20"/>
  <c r="U2" i="20"/>
  <c r="W9" i="19"/>
  <c r="V9" i="19"/>
  <c r="K9" i="19"/>
  <c r="J9" i="19"/>
  <c r="I9" i="19"/>
  <c r="H9" i="19"/>
  <c r="E9" i="19"/>
  <c r="D9" i="19"/>
  <c r="C9" i="19"/>
  <c r="B9" i="19"/>
  <c r="U8" i="19"/>
  <c r="W8" i="19" s="1"/>
  <c r="T8" i="19"/>
  <c r="V8" i="19" s="1"/>
  <c r="S8" i="19"/>
  <c r="O8" i="19"/>
  <c r="P8" i="19" s="1"/>
  <c r="L8" i="19"/>
  <c r="F8" i="19"/>
  <c r="G8" i="19" s="1"/>
  <c r="U7" i="19"/>
  <c r="W7" i="19" s="1"/>
  <c r="T7" i="19"/>
  <c r="V7" i="19" s="1"/>
  <c r="S7" i="19"/>
  <c r="P7" i="19"/>
  <c r="O7" i="19"/>
  <c r="L7" i="19"/>
  <c r="F7" i="19"/>
  <c r="G7" i="19" s="1"/>
  <c r="U6" i="19"/>
  <c r="W6" i="19" s="1"/>
  <c r="T6" i="19"/>
  <c r="V6" i="19" s="1"/>
  <c r="S6" i="19"/>
  <c r="O6" i="19"/>
  <c r="P6" i="19" s="1"/>
  <c r="L6" i="19"/>
  <c r="F6" i="19"/>
  <c r="G6" i="19" s="1"/>
  <c r="U5" i="19"/>
  <c r="W5" i="19" s="1"/>
  <c r="T5" i="19"/>
  <c r="V5" i="19" s="1"/>
  <c r="S5" i="19"/>
  <c r="O5" i="19"/>
  <c r="P5" i="19" s="1"/>
  <c r="L5" i="19"/>
  <c r="F5" i="19"/>
  <c r="G5" i="19" s="1"/>
  <c r="U4" i="19"/>
  <c r="W4" i="19" s="1"/>
  <c r="T4" i="19"/>
  <c r="V4" i="19" s="1"/>
  <c r="S4" i="19"/>
  <c r="O4" i="19"/>
  <c r="P4" i="19" s="1"/>
  <c r="L4" i="19"/>
  <c r="F4" i="19"/>
  <c r="G4" i="19" s="1"/>
  <c r="U3" i="19"/>
  <c r="W3" i="19" s="1"/>
  <c r="T3" i="19"/>
  <c r="V3" i="19" s="1"/>
  <c r="S3" i="19"/>
  <c r="O3" i="19"/>
  <c r="P3" i="19" s="1"/>
  <c r="L3" i="19"/>
  <c r="F3" i="19"/>
  <c r="G3" i="19" s="1"/>
  <c r="U2" i="19"/>
  <c r="T2" i="19"/>
  <c r="S2" i="19"/>
  <c r="O2" i="19"/>
  <c r="P2" i="19" s="1"/>
  <c r="L2" i="19"/>
  <c r="F2" i="19"/>
  <c r="G2" i="19" s="1"/>
  <c r="R3" i="18"/>
  <c r="R4" i="18"/>
  <c r="R5" i="18"/>
  <c r="R6" i="18"/>
  <c r="R7" i="18"/>
  <c r="U7" i="18" s="1"/>
  <c r="R8" i="18"/>
  <c r="R2" i="18"/>
  <c r="Q3" i="18"/>
  <c r="T3" i="18" s="1"/>
  <c r="V3" i="18" s="1"/>
  <c r="Q4" i="18"/>
  <c r="S4" i="18" s="1"/>
  <c r="Q5" i="18"/>
  <c r="Q6" i="18"/>
  <c r="Q7" i="18"/>
  <c r="Q8" i="18"/>
  <c r="T8" i="18" s="1"/>
  <c r="V8" i="18" s="1"/>
  <c r="Q2" i="18"/>
  <c r="N3" i="18"/>
  <c r="N4" i="18"/>
  <c r="U4" i="18" s="1"/>
  <c r="N5" i="18"/>
  <c r="N6" i="18"/>
  <c r="N7" i="18"/>
  <c r="N8" i="18"/>
  <c r="O8" i="18" s="1"/>
  <c r="P8" i="18" s="1"/>
  <c r="N2" i="18"/>
  <c r="M3" i="18"/>
  <c r="M4" i="18"/>
  <c r="M5" i="18"/>
  <c r="M6" i="18"/>
  <c r="M7" i="18"/>
  <c r="M8" i="18"/>
  <c r="M2" i="18"/>
  <c r="K3" i="18"/>
  <c r="K4" i="18"/>
  <c r="K5" i="18"/>
  <c r="K6" i="18"/>
  <c r="K7" i="18"/>
  <c r="L7" i="18" s="1"/>
  <c r="K8" i="18"/>
  <c r="K2" i="18"/>
  <c r="J3" i="18"/>
  <c r="J4" i="18"/>
  <c r="J9" i="18" s="1"/>
  <c r="J5" i="18"/>
  <c r="J6" i="18"/>
  <c r="J7" i="18"/>
  <c r="J8" i="18"/>
  <c r="L8" i="18" s="1"/>
  <c r="J2" i="18"/>
  <c r="I3" i="18"/>
  <c r="I4" i="18"/>
  <c r="I5" i="18"/>
  <c r="I6" i="18"/>
  <c r="I7" i="18"/>
  <c r="I8" i="18"/>
  <c r="I2" i="18"/>
  <c r="H3" i="18"/>
  <c r="H4" i="18"/>
  <c r="H5" i="18"/>
  <c r="H6" i="18"/>
  <c r="H7" i="18"/>
  <c r="H8" i="18"/>
  <c r="H2" i="18"/>
  <c r="E3" i="18"/>
  <c r="F3" i="18" s="1"/>
  <c r="G3" i="18" s="1"/>
  <c r="E4" i="18"/>
  <c r="E5" i="18"/>
  <c r="E6" i="18"/>
  <c r="E7" i="18"/>
  <c r="E8" i="18"/>
  <c r="E2" i="18"/>
  <c r="D3" i="18"/>
  <c r="D4" i="18"/>
  <c r="D5" i="18"/>
  <c r="D6" i="18"/>
  <c r="D7" i="18"/>
  <c r="D8" i="18"/>
  <c r="D2" i="18"/>
  <c r="C9" i="18"/>
  <c r="B9" i="18"/>
  <c r="U8" i="18"/>
  <c r="T7" i="18"/>
  <c r="V7" i="18" s="1"/>
  <c r="O7" i="18"/>
  <c r="P7" i="18" s="1"/>
  <c r="O4" i="18"/>
  <c r="P4" i="18" s="1"/>
  <c r="O3" i="18"/>
  <c r="P3" i="18" s="1"/>
  <c r="T2" i="18"/>
  <c r="S2" i="18"/>
  <c r="F2" i="18"/>
  <c r="G2" i="18" s="1"/>
  <c r="W9" i="17"/>
  <c r="V9" i="17"/>
  <c r="K9" i="17"/>
  <c r="J9" i="17"/>
  <c r="I9" i="17"/>
  <c r="H9" i="17"/>
  <c r="E9" i="17"/>
  <c r="D9" i="17"/>
  <c r="C9" i="17"/>
  <c r="B9" i="17"/>
  <c r="U8" i="17"/>
  <c r="W8" i="17" s="1"/>
  <c r="T8" i="17"/>
  <c r="V8" i="17" s="1"/>
  <c r="S8" i="17"/>
  <c r="O8" i="17"/>
  <c r="P8" i="17" s="1"/>
  <c r="L8" i="17"/>
  <c r="F8" i="17"/>
  <c r="G8" i="17" s="1"/>
  <c r="U7" i="17"/>
  <c r="W7" i="17" s="1"/>
  <c r="T7" i="17"/>
  <c r="V7" i="17" s="1"/>
  <c r="S7" i="17"/>
  <c r="O7" i="17"/>
  <c r="P7" i="17" s="1"/>
  <c r="L7" i="17"/>
  <c r="F7" i="17"/>
  <c r="G7" i="17" s="1"/>
  <c r="U6" i="17"/>
  <c r="W6" i="17" s="1"/>
  <c r="T6" i="17"/>
  <c r="V6" i="17" s="1"/>
  <c r="S6" i="17"/>
  <c r="O6" i="17"/>
  <c r="P6" i="17" s="1"/>
  <c r="L6" i="17"/>
  <c r="F6" i="17"/>
  <c r="G6" i="17" s="1"/>
  <c r="U5" i="17"/>
  <c r="W5" i="17" s="1"/>
  <c r="T5" i="17"/>
  <c r="V5" i="17" s="1"/>
  <c r="S5" i="17"/>
  <c r="O5" i="17"/>
  <c r="P5" i="17" s="1"/>
  <c r="L5" i="17"/>
  <c r="F5" i="17"/>
  <c r="G5" i="17" s="1"/>
  <c r="U4" i="17"/>
  <c r="W4" i="17" s="1"/>
  <c r="T4" i="17"/>
  <c r="V4" i="17" s="1"/>
  <c r="S4" i="17"/>
  <c r="O4" i="17"/>
  <c r="P4" i="17" s="1"/>
  <c r="L4" i="17"/>
  <c r="F4" i="17"/>
  <c r="G4" i="17" s="1"/>
  <c r="U3" i="17"/>
  <c r="W3" i="17" s="1"/>
  <c r="T3" i="17"/>
  <c r="V3" i="17" s="1"/>
  <c r="S3" i="17"/>
  <c r="O3" i="17"/>
  <c r="P3" i="17" s="1"/>
  <c r="L3" i="17"/>
  <c r="F3" i="17"/>
  <c r="G3" i="17" s="1"/>
  <c r="U2" i="17"/>
  <c r="U9" i="17" s="1"/>
  <c r="T2" i="17"/>
  <c r="S2" i="17"/>
  <c r="O2" i="17"/>
  <c r="P2" i="17" s="1"/>
  <c r="L2" i="17"/>
  <c r="F2" i="17"/>
  <c r="G2" i="17" s="1"/>
  <c r="I9" i="20" l="1"/>
  <c r="L4" i="20"/>
  <c r="S2" i="20"/>
  <c r="Q9" i="20"/>
  <c r="U4" i="20"/>
  <c r="T9" i="19"/>
  <c r="O3" i="20"/>
  <c r="P3" i="20" s="1"/>
  <c r="T7" i="20"/>
  <c r="V7" i="20" s="1"/>
  <c r="U8" i="20"/>
  <c r="O2" i="20"/>
  <c r="P2" i="20" s="1"/>
  <c r="N9" i="20"/>
  <c r="W2" i="19"/>
  <c r="U9" i="19"/>
  <c r="T2" i="20"/>
  <c r="S4" i="20"/>
  <c r="L7" i="20"/>
  <c r="W7" i="20"/>
  <c r="H9" i="20"/>
  <c r="M9" i="20"/>
  <c r="V9" i="20" s="1"/>
  <c r="O8" i="20"/>
  <c r="P8" i="20" s="1"/>
  <c r="W3" i="20"/>
  <c r="W2" i="20"/>
  <c r="L8" i="20"/>
  <c r="J9" i="20"/>
  <c r="R9" i="20"/>
  <c r="U5" i="20"/>
  <c r="W8" i="18"/>
  <c r="O2" i="18"/>
  <c r="P2" i="18" s="1"/>
  <c r="N9" i="18"/>
  <c r="W2" i="17"/>
  <c r="L3" i="18"/>
  <c r="U3" i="18"/>
  <c r="W4" i="18"/>
  <c r="F6" i="18"/>
  <c r="G6" i="18" s="1"/>
  <c r="K9" i="18"/>
  <c r="M9" i="18"/>
  <c r="W7" i="18"/>
  <c r="L4" i="18"/>
  <c r="O5" i="18"/>
  <c r="P5" i="18" s="1"/>
  <c r="S7" i="18"/>
  <c r="F5" i="18"/>
  <c r="G5" i="18" s="1"/>
  <c r="H9" i="18"/>
  <c r="I9" i="18"/>
  <c r="L2" i="18"/>
  <c r="R9" i="18"/>
  <c r="U5" i="18"/>
  <c r="D9" i="18"/>
  <c r="T9" i="17"/>
  <c r="V2" i="18"/>
  <c r="S3" i="18"/>
  <c r="F7" i="18"/>
  <c r="G7" i="18" s="1"/>
  <c r="S8" i="18"/>
  <c r="Q9" i="18"/>
  <c r="U6" i="20"/>
  <c r="S6" i="20"/>
  <c r="T5" i="20"/>
  <c r="V5" i="20" s="1"/>
  <c r="T8" i="20"/>
  <c r="V8" i="20" s="1"/>
  <c r="W9" i="20"/>
  <c r="O5" i="20"/>
  <c r="P5" i="20" s="1"/>
  <c r="O6" i="20"/>
  <c r="P6" i="20" s="1"/>
  <c r="T6" i="20"/>
  <c r="V6" i="20" s="1"/>
  <c r="K9" i="20"/>
  <c r="L6" i="20"/>
  <c r="F4" i="20"/>
  <c r="G4" i="20" s="1"/>
  <c r="F8" i="20"/>
  <c r="G8" i="20" s="1"/>
  <c r="D9" i="20"/>
  <c r="F3" i="20"/>
  <c r="G3" i="20" s="1"/>
  <c r="F7" i="20"/>
  <c r="G7" i="20" s="1"/>
  <c r="F6" i="20"/>
  <c r="G6" i="20" s="1"/>
  <c r="F5" i="20"/>
  <c r="G5" i="20" s="1"/>
  <c r="F2" i="20"/>
  <c r="G2" i="20" s="1"/>
  <c r="V2" i="19"/>
  <c r="S6" i="18"/>
  <c r="S5" i="18"/>
  <c r="U6" i="18"/>
  <c r="T4" i="18"/>
  <c r="V4" i="18" s="1"/>
  <c r="O6" i="18"/>
  <c r="P6" i="18" s="1"/>
  <c r="U2" i="18"/>
  <c r="T6" i="18"/>
  <c r="V6" i="18" s="1"/>
  <c r="T5" i="18"/>
  <c r="V5" i="18" s="1"/>
  <c r="L6" i="18"/>
  <c r="L5" i="18"/>
  <c r="E9" i="18"/>
  <c r="F8" i="18"/>
  <c r="G8" i="18" s="1"/>
  <c r="F4" i="18"/>
  <c r="G4" i="18" s="1"/>
  <c r="V2" i="17"/>
  <c r="W5" i="20" l="1"/>
  <c r="W8" i="20"/>
  <c r="V2" i="20"/>
  <c r="T9" i="20"/>
  <c r="W4" i="20"/>
  <c r="U9" i="20"/>
  <c r="W6" i="20"/>
  <c r="V9" i="18"/>
  <c r="W2" i="18"/>
  <c r="U9" i="18"/>
  <c r="W3" i="18"/>
  <c r="W5" i="18"/>
  <c r="W9" i="18"/>
  <c r="T9" i="18"/>
  <c r="W6" i="18"/>
  <c r="R3" i="16"/>
  <c r="R4" i="16"/>
  <c r="R5" i="16"/>
  <c r="R6" i="16"/>
  <c r="R7" i="16"/>
  <c r="U7" i="16" s="1"/>
  <c r="R8" i="16"/>
  <c r="R2" i="16"/>
  <c r="Q3" i="16"/>
  <c r="Q4" i="16"/>
  <c r="S4" i="16" s="1"/>
  <c r="Q5" i="16"/>
  <c r="Q6" i="16"/>
  <c r="Q7" i="16"/>
  <c r="Q8" i="16"/>
  <c r="Q2" i="16"/>
  <c r="N3" i="16"/>
  <c r="N4" i="16"/>
  <c r="N5" i="16"/>
  <c r="N6" i="16"/>
  <c r="N7" i="16"/>
  <c r="N8" i="16"/>
  <c r="N2" i="16"/>
  <c r="M3" i="16"/>
  <c r="M4" i="16"/>
  <c r="M5" i="16"/>
  <c r="M6" i="16"/>
  <c r="M7" i="16"/>
  <c r="M8" i="16"/>
  <c r="M2" i="16"/>
  <c r="K3" i="16"/>
  <c r="K4" i="16"/>
  <c r="K5" i="16"/>
  <c r="K6" i="16"/>
  <c r="K7" i="16"/>
  <c r="K8" i="16"/>
  <c r="K2" i="16"/>
  <c r="J3" i="16"/>
  <c r="J4" i="16"/>
  <c r="L4" i="16" s="1"/>
  <c r="J5" i="16"/>
  <c r="L5" i="16" s="1"/>
  <c r="J6" i="16"/>
  <c r="J7" i="16"/>
  <c r="J8" i="16"/>
  <c r="J2" i="16"/>
  <c r="I3" i="16"/>
  <c r="I4" i="16"/>
  <c r="I5" i="16"/>
  <c r="I6" i="16"/>
  <c r="I7" i="16"/>
  <c r="I8" i="16"/>
  <c r="I2" i="16"/>
  <c r="H3" i="16"/>
  <c r="H4" i="16"/>
  <c r="H5" i="16"/>
  <c r="H6" i="16"/>
  <c r="H7" i="16"/>
  <c r="H8" i="16"/>
  <c r="H2" i="16"/>
  <c r="E3" i="16"/>
  <c r="E4" i="16"/>
  <c r="E5" i="16"/>
  <c r="E6" i="16"/>
  <c r="E7" i="16"/>
  <c r="E8" i="16"/>
  <c r="E2" i="16"/>
  <c r="D3" i="16"/>
  <c r="D4" i="16"/>
  <c r="D5" i="16"/>
  <c r="D6" i="16"/>
  <c r="D7" i="16"/>
  <c r="D8" i="16"/>
  <c r="D2" i="16"/>
  <c r="C9" i="16"/>
  <c r="B9" i="16"/>
  <c r="L8" i="16"/>
  <c r="S5" i="16"/>
  <c r="T4" i="16"/>
  <c r="V4" i="16" s="1"/>
  <c r="T3" i="16"/>
  <c r="V3" i="16" s="1"/>
  <c r="U2" i="16"/>
  <c r="S2" i="16"/>
  <c r="F2" i="16"/>
  <c r="G2" i="16" s="1"/>
  <c r="V9" i="15"/>
  <c r="K9" i="15"/>
  <c r="J9" i="15"/>
  <c r="I9" i="15"/>
  <c r="H9" i="15"/>
  <c r="E9" i="15"/>
  <c r="D9" i="15"/>
  <c r="C9" i="15"/>
  <c r="B9" i="15"/>
  <c r="U8" i="15"/>
  <c r="W8" i="15" s="1"/>
  <c r="T8" i="15"/>
  <c r="V8" i="15" s="1"/>
  <c r="S8" i="15"/>
  <c r="O8" i="15"/>
  <c r="P8" i="15" s="1"/>
  <c r="L8" i="15"/>
  <c r="F8" i="15"/>
  <c r="G8" i="15" s="1"/>
  <c r="W7" i="15"/>
  <c r="U7" i="15"/>
  <c r="T7" i="15"/>
  <c r="V7" i="15" s="1"/>
  <c r="S7" i="15"/>
  <c r="O7" i="15"/>
  <c r="P7" i="15" s="1"/>
  <c r="L7" i="15"/>
  <c r="F7" i="15"/>
  <c r="G7" i="15" s="1"/>
  <c r="U6" i="15"/>
  <c r="W6" i="15" s="1"/>
  <c r="T6" i="15"/>
  <c r="V6" i="15" s="1"/>
  <c r="S6" i="15"/>
  <c r="O6" i="15"/>
  <c r="P6" i="15" s="1"/>
  <c r="L6" i="15"/>
  <c r="F6" i="15"/>
  <c r="G6" i="15" s="1"/>
  <c r="U5" i="15"/>
  <c r="W5" i="15" s="1"/>
  <c r="T5" i="15"/>
  <c r="V5" i="15" s="1"/>
  <c r="S5" i="15"/>
  <c r="O5" i="15"/>
  <c r="P5" i="15" s="1"/>
  <c r="L5" i="15"/>
  <c r="F5" i="15"/>
  <c r="G5" i="15" s="1"/>
  <c r="U4" i="15"/>
  <c r="W4" i="15" s="1"/>
  <c r="T4" i="15"/>
  <c r="V4" i="15" s="1"/>
  <c r="S4" i="15"/>
  <c r="O4" i="15"/>
  <c r="P4" i="15" s="1"/>
  <c r="L4" i="15"/>
  <c r="F4" i="15"/>
  <c r="G4" i="15" s="1"/>
  <c r="U3" i="15"/>
  <c r="W3" i="15" s="1"/>
  <c r="T3" i="15"/>
  <c r="V3" i="15" s="1"/>
  <c r="S3" i="15"/>
  <c r="O3" i="15"/>
  <c r="P3" i="15" s="1"/>
  <c r="L3" i="15"/>
  <c r="F3" i="15"/>
  <c r="G3" i="15" s="1"/>
  <c r="U2" i="15"/>
  <c r="T2" i="15"/>
  <c r="S2" i="15"/>
  <c r="O2" i="15"/>
  <c r="P2" i="15" s="1"/>
  <c r="L2" i="15"/>
  <c r="F2" i="15"/>
  <c r="G2" i="15" s="1"/>
  <c r="R3" i="14"/>
  <c r="R4" i="14"/>
  <c r="S4" i="14" s="1"/>
  <c r="R5" i="14"/>
  <c r="R6" i="14"/>
  <c r="R7" i="14"/>
  <c r="R8" i="14"/>
  <c r="U8" i="14" s="1"/>
  <c r="R2" i="14"/>
  <c r="Q3" i="14"/>
  <c r="Q4" i="14"/>
  <c r="T4" i="14" s="1"/>
  <c r="V4" i="14" s="1"/>
  <c r="Q5" i="14"/>
  <c r="T5" i="14" s="1"/>
  <c r="V5" i="14" s="1"/>
  <c r="Q6" i="14"/>
  <c r="Q7" i="14"/>
  <c r="Q8" i="14"/>
  <c r="Q2" i="14"/>
  <c r="T2" i="14" s="1"/>
  <c r="N3" i="14"/>
  <c r="N4" i="14"/>
  <c r="N5" i="14"/>
  <c r="N6" i="14"/>
  <c r="N7" i="14"/>
  <c r="N8" i="14"/>
  <c r="N2" i="14"/>
  <c r="M3" i="14"/>
  <c r="O3" i="14" s="1"/>
  <c r="P3" i="14" s="1"/>
  <c r="M4" i="14"/>
  <c r="M5" i="14"/>
  <c r="M6" i="14"/>
  <c r="M7" i="14"/>
  <c r="O7" i="14" s="1"/>
  <c r="P7" i="14" s="1"/>
  <c r="M8" i="14"/>
  <c r="M2" i="14"/>
  <c r="K3" i="14"/>
  <c r="K4" i="14"/>
  <c r="K5" i="14"/>
  <c r="K6" i="14"/>
  <c r="K7" i="14"/>
  <c r="L7" i="14" s="1"/>
  <c r="K8" i="14"/>
  <c r="K2" i="14"/>
  <c r="J3" i="14"/>
  <c r="J4" i="14"/>
  <c r="J5" i="14"/>
  <c r="J6" i="14"/>
  <c r="J7" i="14"/>
  <c r="J8" i="14"/>
  <c r="J2" i="14"/>
  <c r="L2" i="14" s="1"/>
  <c r="I3" i="14"/>
  <c r="I4" i="14"/>
  <c r="I5" i="14"/>
  <c r="I6" i="14"/>
  <c r="I7" i="14"/>
  <c r="I8" i="14"/>
  <c r="I2" i="14"/>
  <c r="H3" i="14"/>
  <c r="H4" i="14"/>
  <c r="H5" i="14"/>
  <c r="H6" i="14"/>
  <c r="H7" i="14"/>
  <c r="H8" i="14"/>
  <c r="H2" i="14"/>
  <c r="E3" i="14"/>
  <c r="E4" i="14"/>
  <c r="E5" i="14"/>
  <c r="E6" i="14"/>
  <c r="E7" i="14"/>
  <c r="E8" i="14"/>
  <c r="E2" i="14"/>
  <c r="D3" i="14"/>
  <c r="D4" i="14"/>
  <c r="D5" i="14"/>
  <c r="D6" i="14"/>
  <c r="D7" i="14"/>
  <c r="D8" i="14"/>
  <c r="D2" i="14"/>
  <c r="C9" i="14"/>
  <c r="B9" i="14"/>
  <c r="U7" i="14"/>
  <c r="L5" i="14"/>
  <c r="F3" i="14"/>
  <c r="G3" i="14" s="1"/>
  <c r="C9" i="13"/>
  <c r="B9" i="13"/>
  <c r="T8" i="13"/>
  <c r="V8" i="13" s="1"/>
  <c r="S8" i="13"/>
  <c r="O8" i="13"/>
  <c r="P8" i="13" s="1"/>
  <c r="L8" i="13"/>
  <c r="F8" i="13"/>
  <c r="G8" i="13" s="1"/>
  <c r="T7" i="13"/>
  <c r="V7" i="13" s="1"/>
  <c r="S7" i="13"/>
  <c r="O7" i="13"/>
  <c r="P7" i="13" s="1"/>
  <c r="L7" i="13"/>
  <c r="F7" i="13"/>
  <c r="G7" i="13" s="1"/>
  <c r="T6" i="13"/>
  <c r="V6" i="13" s="1"/>
  <c r="S6" i="13"/>
  <c r="O6" i="13"/>
  <c r="P6" i="13" s="1"/>
  <c r="L6" i="13"/>
  <c r="F6" i="13"/>
  <c r="G6" i="13" s="1"/>
  <c r="T5" i="13"/>
  <c r="V5" i="13" s="1"/>
  <c r="S5" i="13"/>
  <c r="O5" i="13"/>
  <c r="P5" i="13" s="1"/>
  <c r="L5" i="13"/>
  <c r="F5" i="13"/>
  <c r="G5" i="13" s="1"/>
  <c r="T4" i="13"/>
  <c r="V4" i="13" s="1"/>
  <c r="S4" i="13"/>
  <c r="O4" i="13"/>
  <c r="P4" i="13" s="1"/>
  <c r="L4" i="13"/>
  <c r="F4" i="13"/>
  <c r="G4" i="13" s="1"/>
  <c r="T3" i="13"/>
  <c r="V3" i="13" s="1"/>
  <c r="S3" i="13"/>
  <c r="O3" i="13"/>
  <c r="P3" i="13" s="1"/>
  <c r="L3" i="13"/>
  <c r="F3" i="13"/>
  <c r="G3" i="13" s="1"/>
  <c r="T2" i="13"/>
  <c r="O2" i="13"/>
  <c r="P2" i="13" s="1"/>
  <c r="L2" i="13"/>
  <c r="K9" i="13"/>
  <c r="J9" i="13"/>
  <c r="I9" i="13"/>
  <c r="H9" i="13"/>
  <c r="E9" i="13"/>
  <c r="D9" i="13"/>
  <c r="R3" i="12"/>
  <c r="R4" i="12"/>
  <c r="R5" i="12"/>
  <c r="R6" i="12"/>
  <c r="R7" i="12"/>
  <c r="R8" i="12"/>
  <c r="R2" i="12"/>
  <c r="Q3" i="12"/>
  <c r="Q4" i="12"/>
  <c r="S4" i="12" s="1"/>
  <c r="Q5" i="12"/>
  <c r="Q6" i="12"/>
  <c r="Q7" i="12"/>
  <c r="Q8" i="12"/>
  <c r="Q2" i="12"/>
  <c r="N3" i="12"/>
  <c r="N4" i="12"/>
  <c r="N5" i="12"/>
  <c r="N6" i="12"/>
  <c r="N7" i="12"/>
  <c r="N8" i="12"/>
  <c r="N2" i="12"/>
  <c r="M3" i="12"/>
  <c r="M4" i="12"/>
  <c r="M5" i="12"/>
  <c r="M6" i="12"/>
  <c r="M7" i="12"/>
  <c r="M8" i="12"/>
  <c r="M2" i="12"/>
  <c r="K3" i="12"/>
  <c r="K4" i="12"/>
  <c r="K5" i="12"/>
  <c r="K6" i="12"/>
  <c r="K7" i="12"/>
  <c r="K8" i="12"/>
  <c r="K2" i="12"/>
  <c r="J3" i="12"/>
  <c r="J4" i="12"/>
  <c r="J5" i="12"/>
  <c r="J6" i="12"/>
  <c r="J7" i="12"/>
  <c r="J8" i="12"/>
  <c r="J2" i="12"/>
  <c r="I3" i="12"/>
  <c r="I4" i="12"/>
  <c r="I5" i="12"/>
  <c r="I6" i="12"/>
  <c r="I7" i="12"/>
  <c r="I8" i="12"/>
  <c r="I2" i="12"/>
  <c r="H3" i="12"/>
  <c r="H4" i="12"/>
  <c r="H5" i="12"/>
  <c r="H6" i="12"/>
  <c r="H7" i="12"/>
  <c r="H8" i="12"/>
  <c r="H2" i="12"/>
  <c r="E3" i="12"/>
  <c r="E4" i="12"/>
  <c r="E5" i="12"/>
  <c r="E6" i="12"/>
  <c r="E7" i="12"/>
  <c r="F7" i="12" s="1"/>
  <c r="G7" i="12" s="1"/>
  <c r="E8" i="12"/>
  <c r="E2" i="12"/>
  <c r="C9" i="12"/>
  <c r="B9" i="12"/>
  <c r="U8" i="12"/>
  <c r="T7" i="12"/>
  <c r="V7" i="12" s="1"/>
  <c r="O7" i="12"/>
  <c r="P7" i="12" s="1"/>
  <c r="T5" i="12"/>
  <c r="V5" i="12" s="1"/>
  <c r="S5" i="12"/>
  <c r="L5" i="12"/>
  <c r="U4" i="12"/>
  <c r="O4" i="12"/>
  <c r="P4" i="12" s="1"/>
  <c r="T3" i="12"/>
  <c r="V3" i="12" s="1"/>
  <c r="O3" i="12"/>
  <c r="P3" i="12" s="1"/>
  <c r="S2" i="12"/>
  <c r="L2" i="12"/>
  <c r="V9" i="11"/>
  <c r="K9" i="11"/>
  <c r="J9" i="11"/>
  <c r="I9" i="11"/>
  <c r="H9" i="11"/>
  <c r="E9" i="11"/>
  <c r="D9" i="11"/>
  <c r="C9" i="11"/>
  <c r="B9" i="11"/>
  <c r="U8" i="11"/>
  <c r="T8" i="11"/>
  <c r="V8" i="11" s="1"/>
  <c r="S8" i="11"/>
  <c r="O8" i="11"/>
  <c r="P8" i="11" s="1"/>
  <c r="L8" i="11"/>
  <c r="F8" i="11"/>
  <c r="G8" i="11" s="1"/>
  <c r="U7" i="11"/>
  <c r="T7" i="11"/>
  <c r="V7" i="11" s="1"/>
  <c r="S7" i="11"/>
  <c r="O7" i="11"/>
  <c r="P7" i="11" s="1"/>
  <c r="L7" i="11"/>
  <c r="F7" i="11"/>
  <c r="G7" i="11" s="1"/>
  <c r="U6" i="11"/>
  <c r="T6" i="11"/>
  <c r="V6" i="11" s="1"/>
  <c r="S6" i="11"/>
  <c r="O6" i="11"/>
  <c r="P6" i="11" s="1"/>
  <c r="L6" i="11"/>
  <c r="F6" i="11"/>
  <c r="G6" i="11" s="1"/>
  <c r="U5" i="11"/>
  <c r="T5" i="11"/>
  <c r="V5" i="11" s="1"/>
  <c r="S5" i="11"/>
  <c r="O5" i="11"/>
  <c r="P5" i="11" s="1"/>
  <c r="L5" i="11"/>
  <c r="F5" i="11"/>
  <c r="G5" i="11" s="1"/>
  <c r="U4" i="11"/>
  <c r="T4" i="11"/>
  <c r="V4" i="11" s="1"/>
  <c r="S4" i="11"/>
  <c r="O4" i="11"/>
  <c r="P4" i="11" s="1"/>
  <c r="L4" i="11"/>
  <c r="F4" i="11"/>
  <c r="G4" i="11" s="1"/>
  <c r="U3" i="11"/>
  <c r="T3" i="11"/>
  <c r="V3" i="11" s="1"/>
  <c r="S3" i="11"/>
  <c r="O3" i="11"/>
  <c r="P3" i="11" s="1"/>
  <c r="L3" i="11"/>
  <c r="F3" i="11"/>
  <c r="G3" i="11" s="1"/>
  <c r="U2" i="11"/>
  <c r="T2" i="11"/>
  <c r="S2" i="11"/>
  <c r="O2" i="11"/>
  <c r="P2" i="11" s="1"/>
  <c r="L2" i="11"/>
  <c r="F2" i="11"/>
  <c r="G2" i="11" s="1"/>
  <c r="F3" i="16" l="1"/>
  <c r="G3" i="16" s="1"/>
  <c r="L3" i="16"/>
  <c r="S7" i="16"/>
  <c r="T7" i="16"/>
  <c r="V7" i="16" s="1"/>
  <c r="F7" i="16"/>
  <c r="G7" i="16" s="1"/>
  <c r="L7" i="16"/>
  <c r="S3" i="16"/>
  <c r="F4" i="16"/>
  <c r="G4" i="16" s="1"/>
  <c r="F6" i="16"/>
  <c r="G6" i="16" s="1"/>
  <c r="M9" i="16"/>
  <c r="S6" i="16"/>
  <c r="O2" i="16"/>
  <c r="P2" i="16" s="1"/>
  <c r="W7" i="16"/>
  <c r="L2" i="16"/>
  <c r="O8" i="16"/>
  <c r="P8" i="16" s="1"/>
  <c r="O7" i="16"/>
  <c r="P7" i="16" s="1"/>
  <c r="R9" i="16"/>
  <c r="K9" i="16"/>
  <c r="U4" i="16"/>
  <c r="D9" i="16"/>
  <c r="E9" i="16"/>
  <c r="Q9" i="16"/>
  <c r="T5" i="16"/>
  <c r="V5" i="16" s="1"/>
  <c r="W2" i="16"/>
  <c r="V2" i="15"/>
  <c r="T9" i="15"/>
  <c r="W2" i="15"/>
  <c r="U9" i="15"/>
  <c r="T2" i="16"/>
  <c r="O4" i="16"/>
  <c r="P4" i="16" s="1"/>
  <c r="F5" i="16"/>
  <c r="G5" i="16" s="1"/>
  <c r="U8" i="16"/>
  <c r="N9" i="16"/>
  <c r="U5" i="16"/>
  <c r="L8" i="14"/>
  <c r="S2" i="14"/>
  <c r="T3" i="14"/>
  <c r="V3" i="14" s="1"/>
  <c r="T7" i="14"/>
  <c r="V7" i="14" s="1"/>
  <c r="L4" i="14"/>
  <c r="S8" i="14"/>
  <c r="W7" i="14"/>
  <c r="W8" i="14"/>
  <c r="N9" i="14"/>
  <c r="V2" i="13"/>
  <c r="T9" i="13"/>
  <c r="L3" i="14"/>
  <c r="U3" i="14"/>
  <c r="K9" i="14"/>
  <c r="M9" i="14"/>
  <c r="O5" i="14"/>
  <c r="P5" i="14" s="1"/>
  <c r="V2" i="14"/>
  <c r="U2" i="14"/>
  <c r="U4" i="14"/>
  <c r="U5" i="14"/>
  <c r="S7" i="14"/>
  <c r="O8" i="14"/>
  <c r="P8" i="14" s="1"/>
  <c r="T8" i="14"/>
  <c r="V8" i="14" s="1"/>
  <c r="R9" i="14"/>
  <c r="W9" i="14" s="1"/>
  <c r="O2" i="14"/>
  <c r="P2" i="14" s="1"/>
  <c r="S3" i="14"/>
  <c r="O4" i="14"/>
  <c r="P4" i="14" s="1"/>
  <c r="F5" i="14"/>
  <c r="G5" i="14" s="1"/>
  <c r="F7" i="14"/>
  <c r="G7" i="14" s="1"/>
  <c r="F2" i="14"/>
  <c r="G2" i="14" s="1"/>
  <c r="F8" i="14"/>
  <c r="G8" i="14" s="1"/>
  <c r="E9" i="14"/>
  <c r="I9" i="14"/>
  <c r="O6" i="14"/>
  <c r="P6" i="14" s="1"/>
  <c r="Q9" i="14"/>
  <c r="O2" i="12"/>
  <c r="P2" i="12" s="1"/>
  <c r="N9" i="12"/>
  <c r="V2" i="11"/>
  <c r="T9" i="11"/>
  <c r="U7" i="12"/>
  <c r="M9" i="12"/>
  <c r="S7" i="12"/>
  <c r="S3" i="12"/>
  <c r="U2" i="12"/>
  <c r="U3" i="12"/>
  <c r="W4" i="12"/>
  <c r="L7" i="12"/>
  <c r="W8" i="12"/>
  <c r="R9" i="12"/>
  <c r="U9" i="11"/>
  <c r="L3" i="12"/>
  <c r="Q9" i="12"/>
  <c r="F8" i="12"/>
  <c r="G8" i="12" s="1"/>
  <c r="F2" i="12"/>
  <c r="G2" i="12" s="1"/>
  <c r="W7" i="11"/>
  <c r="F4" i="12"/>
  <c r="G4" i="12" s="1"/>
  <c r="W5" i="11"/>
  <c r="W2" i="11"/>
  <c r="W4" i="11"/>
  <c r="E9" i="12"/>
  <c r="F3" i="12"/>
  <c r="G3" i="12" s="1"/>
  <c r="U5" i="12"/>
  <c r="W3" i="11"/>
  <c r="W6" i="11"/>
  <c r="W8" i="11"/>
  <c r="F5" i="12"/>
  <c r="G5" i="12" s="1"/>
  <c r="H9" i="12"/>
  <c r="J9" i="12"/>
  <c r="T8" i="12"/>
  <c r="V8" i="12" s="1"/>
  <c r="I9" i="12"/>
  <c r="L8" i="12"/>
  <c r="L4" i="12"/>
  <c r="T4" i="12"/>
  <c r="V4" i="12" s="1"/>
  <c r="F6" i="12"/>
  <c r="G6" i="12" s="1"/>
  <c r="U6" i="16"/>
  <c r="S8" i="16"/>
  <c r="O3" i="16"/>
  <c r="P3" i="16" s="1"/>
  <c r="U3" i="16"/>
  <c r="O6" i="16"/>
  <c r="P6" i="16" s="1"/>
  <c r="O5" i="16"/>
  <c r="P5" i="16" s="1"/>
  <c r="T8" i="16"/>
  <c r="V8" i="16" s="1"/>
  <c r="V9" i="16"/>
  <c r="T6" i="16"/>
  <c r="V6" i="16" s="1"/>
  <c r="L6" i="16"/>
  <c r="J9" i="16"/>
  <c r="I9" i="16"/>
  <c r="H9" i="16"/>
  <c r="F8" i="16"/>
  <c r="G8" i="16" s="1"/>
  <c r="W9" i="15"/>
  <c r="S6" i="14"/>
  <c r="T6" i="14"/>
  <c r="V6" i="14" s="1"/>
  <c r="S5" i="14"/>
  <c r="U6" i="14"/>
  <c r="V9" i="14"/>
  <c r="L6" i="14"/>
  <c r="J9" i="14"/>
  <c r="H9" i="14"/>
  <c r="F4" i="14"/>
  <c r="G4" i="14" s="1"/>
  <c r="F6" i="14"/>
  <c r="G6" i="14" s="1"/>
  <c r="D9" i="14"/>
  <c r="V9" i="13"/>
  <c r="U2" i="13"/>
  <c r="U3" i="13"/>
  <c r="W3" i="13" s="1"/>
  <c r="U4" i="13"/>
  <c r="W4" i="13" s="1"/>
  <c r="U5" i="13"/>
  <c r="W5" i="13" s="1"/>
  <c r="U6" i="13"/>
  <c r="W6" i="13" s="1"/>
  <c r="U7" i="13"/>
  <c r="W7" i="13" s="1"/>
  <c r="U8" i="13"/>
  <c r="W8" i="13" s="1"/>
  <c r="W9" i="13"/>
  <c r="F2" i="13"/>
  <c r="G2" i="13" s="1"/>
  <c r="S2" i="13"/>
  <c r="U6" i="12"/>
  <c r="S8" i="12"/>
  <c r="S6" i="12"/>
  <c r="T6" i="12"/>
  <c r="V6" i="12" s="1"/>
  <c r="T2" i="12"/>
  <c r="T9" i="12" s="1"/>
  <c r="O6" i="12"/>
  <c r="P6" i="12" s="1"/>
  <c r="O5" i="12"/>
  <c r="P5" i="12" s="1"/>
  <c r="O8" i="12"/>
  <c r="P8" i="12" s="1"/>
  <c r="K9" i="12"/>
  <c r="L6" i="12"/>
  <c r="D9" i="12"/>
  <c r="W9" i="11"/>
  <c r="W6" i="16" l="1"/>
  <c r="W9" i="16"/>
  <c r="V2" i="16"/>
  <c r="T9" i="16"/>
  <c r="W3" i="16"/>
  <c r="U9" i="16"/>
  <c r="W5" i="16"/>
  <c r="W8" i="16"/>
  <c r="W4" i="16"/>
  <c r="U9" i="13"/>
  <c r="W5" i="14"/>
  <c r="W3" i="14"/>
  <c r="W6" i="14"/>
  <c r="W4" i="14"/>
  <c r="U9" i="14"/>
  <c r="W2" i="14"/>
  <c r="T9" i="14"/>
  <c r="V2" i="12"/>
  <c r="W6" i="12"/>
  <c r="W5" i="12"/>
  <c r="W3" i="12"/>
  <c r="W7" i="12"/>
  <c r="W9" i="12"/>
  <c r="W2" i="12"/>
  <c r="U9" i="12"/>
  <c r="V9" i="12"/>
  <c r="W2" i="13"/>
  <c r="R3" i="10" l="1"/>
  <c r="R4" i="10"/>
  <c r="R5" i="10"/>
  <c r="R6" i="10"/>
  <c r="R7" i="10"/>
  <c r="R8" i="10"/>
  <c r="R2" i="10"/>
  <c r="Q3" i="10"/>
  <c r="T3" i="10" s="1"/>
  <c r="V3" i="10" s="1"/>
  <c r="Q4" i="10"/>
  <c r="Q5" i="10"/>
  <c r="Q6" i="10"/>
  <c r="Q7" i="10"/>
  <c r="T7" i="10" s="1"/>
  <c r="V7" i="10" s="1"/>
  <c r="Q8" i="10"/>
  <c r="Q2" i="10"/>
  <c r="N3" i="10"/>
  <c r="N4" i="10"/>
  <c r="N5" i="10"/>
  <c r="N6" i="10"/>
  <c r="N7" i="10"/>
  <c r="N8" i="10"/>
  <c r="N2" i="10"/>
  <c r="M3" i="10"/>
  <c r="M4" i="10"/>
  <c r="M5" i="10"/>
  <c r="O5" i="10" s="1"/>
  <c r="P5" i="10" s="1"/>
  <c r="M6" i="10"/>
  <c r="M7" i="10"/>
  <c r="M8" i="10"/>
  <c r="T8" i="10" s="1"/>
  <c r="V8" i="10" s="1"/>
  <c r="M2" i="10"/>
  <c r="M9" i="10" s="1"/>
  <c r="K3" i="10"/>
  <c r="K4" i="10"/>
  <c r="K5" i="10"/>
  <c r="K6" i="10"/>
  <c r="K7" i="10"/>
  <c r="K8" i="10"/>
  <c r="L2" i="10"/>
  <c r="J3" i="10"/>
  <c r="L3" i="10" s="1"/>
  <c r="J4" i="10"/>
  <c r="J5" i="10"/>
  <c r="J6" i="10"/>
  <c r="J7" i="10"/>
  <c r="L7" i="10" s="1"/>
  <c r="J8" i="10"/>
  <c r="I3" i="10"/>
  <c r="I4" i="10"/>
  <c r="I5" i="10"/>
  <c r="I6" i="10"/>
  <c r="I7" i="10"/>
  <c r="I8" i="10"/>
  <c r="I2" i="10"/>
  <c r="H3" i="10"/>
  <c r="H4" i="10"/>
  <c r="H5" i="10"/>
  <c r="H6" i="10"/>
  <c r="H7" i="10"/>
  <c r="H8" i="10"/>
  <c r="H2" i="10"/>
  <c r="E3" i="10"/>
  <c r="E4" i="10"/>
  <c r="E5" i="10"/>
  <c r="E6" i="10"/>
  <c r="E7" i="10"/>
  <c r="E8" i="10"/>
  <c r="E2" i="10"/>
  <c r="D3" i="10"/>
  <c r="D4" i="10"/>
  <c r="F4" i="10" s="1"/>
  <c r="G4" i="10" s="1"/>
  <c r="D5" i="10"/>
  <c r="D6" i="10"/>
  <c r="D7" i="10"/>
  <c r="D8" i="10"/>
  <c r="F8" i="10" s="1"/>
  <c r="G8" i="10" s="1"/>
  <c r="D2" i="10"/>
  <c r="C9" i="10"/>
  <c r="B9" i="10"/>
  <c r="S8" i="10"/>
  <c r="U5" i="10"/>
  <c r="S5" i="10"/>
  <c r="F5" i="10"/>
  <c r="G5" i="10" s="1"/>
  <c r="T4" i="10"/>
  <c r="V4" i="10" s="1"/>
  <c r="L4" i="10"/>
  <c r="O3" i="10"/>
  <c r="P3" i="10" s="1"/>
  <c r="S2" i="10"/>
  <c r="S3" i="9"/>
  <c r="S4" i="9"/>
  <c r="S5" i="9"/>
  <c r="S6" i="9"/>
  <c r="S7" i="9"/>
  <c r="S8" i="9"/>
  <c r="S2" i="9"/>
  <c r="O2" i="10" l="1"/>
  <c r="P2" i="10" s="1"/>
  <c r="O7" i="10"/>
  <c r="P7" i="10" s="1"/>
  <c r="L6" i="10"/>
  <c r="U8" i="10"/>
  <c r="U4" i="10"/>
  <c r="S3" i="10"/>
  <c r="W5" i="10"/>
  <c r="S7" i="10"/>
  <c r="O8" i="10"/>
  <c r="P8" i="10" s="1"/>
  <c r="F3" i="10"/>
  <c r="G3" i="10" s="1"/>
  <c r="F6" i="10"/>
  <c r="G6" i="10" s="1"/>
  <c r="H9" i="10"/>
  <c r="U2" i="10"/>
  <c r="R9" i="10"/>
  <c r="Q9" i="10"/>
  <c r="T2" i="10"/>
  <c r="O4" i="10"/>
  <c r="P4" i="10" s="1"/>
  <c r="L5" i="10"/>
  <c r="F7" i="10"/>
  <c r="G7" i="10" s="1"/>
  <c r="D9" i="10"/>
  <c r="F2" i="10"/>
  <c r="G2" i="10" s="1"/>
  <c r="U3" i="10"/>
  <c r="S4" i="10"/>
  <c r="U7" i="10"/>
  <c r="E9" i="10"/>
  <c r="I9" i="10"/>
  <c r="J9" i="10"/>
  <c r="N9" i="10"/>
  <c r="U6" i="10"/>
  <c r="S6" i="10"/>
  <c r="T6" i="10"/>
  <c r="V6" i="10" s="1"/>
  <c r="V9" i="10"/>
  <c r="O6" i="10"/>
  <c r="P6" i="10" s="1"/>
  <c r="T5" i="10"/>
  <c r="V5" i="10" s="1"/>
  <c r="W2" i="10"/>
  <c r="K9" i="10"/>
  <c r="L8" i="10"/>
  <c r="W8" i="10" l="1"/>
  <c r="W9" i="10"/>
  <c r="W6" i="10"/>
  <c r="W3" i="10"/>
  <c r="W4" i="10"/>
  <c r="W7" i="10"/>
  <c r="V2" i="10"/>
  <c r="T9" i="10"/>
  <c r="U9" i="10"/>
  <c r="K9" i="9"/>
  <c r="J9" i="9"/>
  <c r="I9" i="9"/>
  <c r="H9" i="9"/>
  <c r="E9" i="9"/>
  <c r="D9" i="9"/>
  <c r="C9" i="9"/>
  <c r="B9" i="9"/>
  <c r="U8" i="9"/>
  <c r="W8" i="9" s="1"/>
  <c r="T8" i="9"/>
  <c r="V8" i="9" s="1"/>
  <c r="O8" i="9"/>
  <c r="P8" i="9" s="1"/>
  <c r="L8" i="9"/>
  <c r="F8" i="9"/>
  <c r="G8" i="9" s="1"/>
  <c r="U7" i="9"/>
  <c r="W7" i="9" s="1"/>
  <c r="T7" i="9"/>
  <c r="V7" i="9" s="1"/>
  <c r="O7" i="9"/>
  <c r="P7" i="9" s="1"/>
  <c r="L7" i="9"/>
  <c r="F7" i="9"/>
  <c r="G7" i="9" s="1"/>
  <c r="U6" i="9"/>
  <c r="W6" i="9" s="1"/>
  <c r="T6" i="9"/>
  <c r="V6" i="9" s="1"/>
  <c r="O6" i="9"/>
  <c r="P6" i="9" s="1"/>
  <c r="L6" i="9"/>
  <c r="F6" i="9"/>
  <c r="G6" i="9" s="1"/>
  <c r="U5" i="9"/>
  <c r="W5" i="9" s="1"/>
  <c r="T5" i="9"/>
  <c r="V5" i="9" s="1"/>
  <c r="O5" i="9"/>
  <c r="P5" i="9" s="1"/>
  <c r="L5" i="9"/>
  <c r="F5" i="9"/>
  <c r="G5" i="9" s="1"/>
  <c r="U4" i="9"/>
  <c r="W4" i="9" s="1"/>
  <c r="T4" i="9"/>
  <c r="V4" i="9" s="1"/>
  <c r="O4" i="9"/>
  <c r="P4" i="9" s="1"/>
  <c r="L4" i="9"/>
  <c r="F4" i="9"/>
  <c r="G4" i="9" s="1"/>
  <c r="U3" i="9"/>
  <c r="W3" i="9" s="1"/>
  <c r="T3" i="9"/>
  <c r="V3" i="9" s="1"/>
  <c r="O3" i="9"/>
  <c r="P3" i="9" s="1"/>
  <c r="L3" i="9"/>
  <c r="F3" i="9"/>
  <c r="G3" i="9" s="1"/>
  <c r="U2" i="9"/>
  <c r="T2" i="9"/>
  <c r="O2" i="9"/>
  <c r="P2" i="9" s="1"/>
  <c r="L2" i="9"/>
  <c r="F2" i="9"/>
  <c r="G2" i="9" s="1"/>
  <c r="R3" i="8"/>
  <c r="U3" i="8" s="1"/>
  <c r="R4" i="8"/>
  <c r="R5" i="8"/>
  <c r="R6" i="8"/>
  <c r="R7" i="8"/>
  <c r="S7" i="8" s="1"/>
  <c r="R8" i="8"/>
  <c r="R2" i="8"/>
  <c r="Q3" i="8"/>
  <c r="T3" i="8" s="1"/>
  <c r="V3" i="8" s="1"/>
  <c r="Q4" i="8"/>
  <c r="T4" i="8" s="1"/>
  <c r="V4" i="8" s="1"/>
  <c r="Q5" i="8"/>
  <c r="Q6" i="8"/>
  <c r="Q7" i="8"/>
  <c r="Q8" i="8"/>
  <c r="Q2" i="8"/>
  <c r="S2" i="8" s="1"/>
  <c r="N3" i="8"/>
  <c r="N4" i="8"/>
  <c r="N5" i="8"/>
  <c r="U5" i="8" s="1"/>
  <c r="N6" i="8"/>
  <c r="N7" i="8"/>
  <c r="N8" i="8"/>
  <c r="U8" i="8" s="1"/>
  <c r="N2" i="8"/>
  <c r="O2" i="8" s="1"/>
  <c r="P2" i="8" s="1"/>
  <c r="M3" i="8"/>
  <c r="O3" i="8" s="1"/>
  <c r="P3" i="8" s="1"/>
  <c r="M4" i="8"/>
  <c r="M5" i="8"/>
  <c r="M6" i="8"/>
  <c r="M7" i="8"/>
  <c r="M8" i="8"/>
  <c r="M2" i="8"/>
  <c r="K3" i="8"/>
  <c r="L3" i="8" s="1"/>
  <c r="K4" i="8"/>
  <c r="K5" i="8"/>
  <c r="K6" i="8"/>
  <c r="K7" i="8"/>
  <c r="K8" i="8"/>
  <c r="K2" i="8"/>
  <c r="J3" i="8"/>
  <c r="J4" i="8"/>
  <c r="J5" i="8"/>
  <c r="L5" i="8" s="1"/>
  <c r="J6" i="8"/>
  <c r="J7" i="8"/>
  <c r="J8" i="8"/>
  <c r="J2" i="8"/>
  <c r="L2" i="8" s="1"/>
  <c r="I3" i="8"/>
  <c r="I4" i="8"/>
  <c r="I5" i="8"/>
  <c r="I6" i="8"/>
  <c r="I7" i="8"/>
  <c r="I8" i="8"/>
  <c r="I2" i="8"/>
  <c r="H3" i="8"/>
  <c r="H4" i="8"/>
  <c r="H5" i="8"/>
  <c r="H6" i="8"/>
  <c r="H7" i="8"/>
  <c r="H8" i="8"/>
  <c r="H2" i="8"/>
  <c r="F2" i="8"/>
  <c r="G2" i="8" s="1"/>
  <c r="E3" i="8"/>
  <c r="E4" i="8"/>
  <c r="E5" i="8"/>
  <c r="E6" i="8"/>
  <c r="E7" i="8"/>
  <c r="E8" i="8"/>
  <c r="E2" i="8"/>
  <c r="D3" i="8"/>
  <c r="D4" i="8"/>
  <c r="F4" i="8" s="1"/>
  <c r="G4" i="8" s="1"/>
  <c r="D5" i="8"/>
  <c r="D6" i="8"/>
  <c r="D7" i="8"/>
  <c r="D8" i="8"/>
  <c r="F8" i="8" s="1"/>
  <c r="G8" i="8" s="1"/>
  <c r="D2" i="8"/>
  <c r="C9" i="8"/>
  <c r="B9" i="8"/>
  <c r="O7" i="8"/>
  <c r="P7" i="8" s="1"/>
  <c r="O4" i="8"/>
  <c r="P4" i="8" s="1"/>
  <c r="U9" i="9" l="1"/>
  <c r="T9" i="9"/>
  <c r="F5" i="8"/>
  <c r="G5" i="8" s="1"/>
  <c r="T7" i="8"/>
  <c r="V7" i="8" s="1"/>
  <c r="T5" i="8"/>
  <c r="V5" i="8" s="1"/>
  <c r="S5" i="8"/>
  <c r="F7" i="8"/>
  <c r="G7" i="8" s="1"/>
  <c r="F3" i="8"/>
  <c r="G3" i="8" s="1"/>
  <c r="H9" i="8"/>
  <c r="J9" i="8"/>
  <c r="S4" i="8"/>
  <c r="W3" i="8"/>
  <c r="N9" i="8"/>
  <c r="O5" i="8"/>
  <c r="P5" i="8" s="1"/>
  <c r="T2" i="8"/>
  <c r="M9" i="8"/>
  <c r="U4" i="8"/>
  <c r="U6" i="8"/>
  <c r="W8" i="8"/>
  <c r="U2" i="8"/>
  <c r="S3" i="8"/>
  <c r="L7" i="8"/>
  <c r="U7" i="8"/>
  <c r="T8" i="8"/>
  <c r="V8" i="8" s="1"/>
  <c r="R9" i="8"/>
  <c r="W5" i="8"/>
  <c r="I9" i="8"/>
  <c r="K9" i="8"/>
  <c r="L8" i="8"/>
  <c r="L4" i="8"/>
  <c r="Q9" i="8"/>
  <c r="S8" i="8"/>
  <c r="W2" i="9"/>
  <c r="W9" i="9"/>
  <c r="V9" i="9"/>
  <c r="V2" i="9"/>
  <c r="S6" i="8"/>
  <c r="T6" i="8"/>
  <c r="V6" i="8" s="1"/>
  <c r="O6" i="8"/>
  <c r="P6" i="8" s="1"/>
  <c r="O8" i="8"/>
  <c r="P8" i="8" s="1"/>
  <c r="L6" i="8"/>
  <c r="E9" i="8"/>
  <c r="F6" i="8"/>
  <c r="G6" i="8" s="1"/>
  <c r="D9" i="8"/>
  <c r="V2" i="8"/>
  <c r="V9" i="8" l="1"/>
  <c r="W2" i="8"/>
  <c r="U9" i="8"/>
  <c r="W6" i="8"/>
  <c r="W7" i="8"/>
  <c r="T9" i="8"/>
  <c r="W9" i="8"/>
  <c r="W4" i="8"/>
  <c r="T2" i="7"/>
  <c r="S2" i="7"/>
  <c r="C9" i="7"/>
  <c r="B9" i="7"/>
  <c r="U8" i="7"/>
  <c r="W8" i="7" s="1"/>
  <c r="T8" i="7"/>
  <c r="V8" i="7" s="1"/>
  <c r="S8" i="7"/>
  <c r="O8" i="7"/>
  <c r="P8" i="7" s="1"/>
  <c r="L8" i="7"/>
  <c r="F8" i="7"/>
  <c r="G8" i="7" s="1"/>
  <c r="U7" i="7"/>
  <c r="W7" i="7" s="1"/>
  <c r="T7" i="7"/>
  <c r="V7" i="7" s="1"/>
  <c r="S7" i="7"/>
  <c r="O7" i="7"/>
  <c r="P7" i="7" s="1"/>
  <c r="L7" i="7"/>
  <c r="F7" i="7"/>
  <c r="G7" i="7" s="1"/>
  <c r="U6" i="7"/>
  <c r="W6" i="7" s="1"/>
  <c r="T6" i="7"/>
  <c r="V6" i="7" s="1"/>
  <c r="S6" i="7"/>
  <c r="O6" i="7"/>
  <c r="P6" i="7" s="1"/>
  <c r="L6" i="7"/>
  <c r="F6" i="7"/>
  <c r="G6" i="7" s="1"/>
  <c r="U5" i="7"/>
  <c r="W5" i="7" s="1"/>
  <c r="T5" i="7"/>
  <c r="V5" i="7" s="1"/>
  <c r="S5" i="7"/>
  <c r="O5" i="7"/>
  <c r="P5" i="7" s="1"/>
  <c r="L5" i="7"/>
  <c r="F5" i="7"/>
  <c r="G5" i="7" s="1"/>
  <c r="U4" i="7"/>
  <c r="W4" i="7" s="1"/>
  <c r="T4" i="7"/>
  <c r="V4" i="7" s="1"/>
  <c r="S4" i="7"/>
  <c r="O4" i="7"/>
  <c r="P4" i="7" s="1"/>
  <c r="L4" i="7"/>
  <c r="F4" i="7"/>
  <c r="G4" i="7" s="1"/>
  <c r="U3" i="7"/>
  <c r="W3" i="7" s="1"/>
  <c r="T3" i="7"/>
  <c r="V3" i="7" s="1"/>
  <c r="S3" i="7"/>
  <c r="O3" i="7"/>
  <c r="P3" i="7" s="1"/>
  <c r="L3" i="7"/>
  <c r="F3" i="7"/>
  <c r="G3" i="7" s="1"/>
  <c r="U2" i="7"/>
  <c r="V2" i="7"/>
  <c r="O2" i="7"/>
  <c r="P2" i="7" s="1"/>
  <c r="L2" i="7"/>
  <c r="K9" i="7"/>
  <c r="J9" i="7"/>
  <c r="I9" i="7"/>
  <c r="H9" i="7"/>
  <c r="E9" i="7"/>
  <c r="D9" i="7"/>
  <c r="K9" i="4"/>
  <c r="R3" i="5"/>
  <c r="R4" i="5"/>
  <c r="R5" i="5"/>
  <c r="R6" i="5"/>
  <c r="R7" i="5"/>
  <c r="R8" i="5"/>
  <c r="R2" i="5"/>
  <c r="Q3" i="5"/>
  <c r="Q4" i="5"/>
  <c r="Q5" i="5"/>
  <c r="Q6" i="5"/>
  <c r="Q7" i="5"/>
  <c r="Q8" i="5"/>
  <c r="Q2" i="5"/>
  <c r="N3" i="5"/>
  <c r="N4" i="5"/>
  <c r="N5" i="5"/>
  <c r="N6" i="5"/>
  <c r="N7" i="5"/>
  <c r="N8" i="5"/>
  <c r="N2" i="5"/>
  <c r="M3" i="5"/>
  <c r="M4" i="5"/>
  <c r="M5" i="5"/>
  <c r="M6" i="5"/>
  <c r="T6" i="5" s="1"/>
  <c r="V6" i="5" s="1"/>
  <c r="M7" i="5"/>
  <c r="M8" i="5"/>
  <c r="M2" i="5"/>
  <c r="K3" i="5"/>
  <c r="K4" i="5"/>
  <c r="K5" i="5"/>
  <c r="K6" i="5"/>
  <c r="K7" i="5"/>
  <c r="K8" i="5"/>
  <c r="K2" i="5"/>
  <c r="J3" i="5"/>
  <c r="J4" i="5"/>
  <c r="J5" i="5"/>
  <c r="J6" i="5"/>
  <c r="J7" i="5"/>
  <c r="J8" i="5"/>
  <c r="J2" i="5"/>
  <c r="I3" i="5"/>
  <c r="I4" i="5"/>
  <c r="I5" i="5"/>
  <c r="I6" i="5"/>
  <c r="I7" i="5"/>
  <c r="I8" i="5"/>
  <c r="I2" i="5"/>
  <c r="H3" i="5"/>
  <c r="H4" i="5"/>
  <c r="H5" i="5"/>
  <c r="H6" i="5"/>
  <c r="H7" i="5"/>
  <c r="H8" i="5"/>
  <c r="E3" i="5"/>
  <c r="E4" i="5"/>
  <c r="E5" i="5"/>
  <c r="E6" i="5"/>
  <c r="E7" i="5"/>
  <c r="E8" i="5"/>
  <c r="E2" i="5"/>
  <c r="D3" i="5"/>
  <c r="D4" i="5"/>
  <c r="D5" i="5"/>
  <c r="D6" i="5"/>
  <c r="D7" i="5"/>
  <c r="D8" i="5"/>
  <c r="C9" i="5"/>
  <c r="B9" i="5"/>
  <c r="W2" i="7" l="1"/>
  <c r="U9" i="7"/>
  <c r="T9" i="7"/>
  <c r="S6" i="5"/>
  <c r="T7" i="5"/>
  <c r="V7" i="5" s="1"/>
  <c r="Q9" i="5"/>
  <c r="S4" i="5"/>
  <c r="T2" i="5"/>
  <c r="V2" i="5" s="1"/>
  <c r="M9" i="5"/>
  <c r="T5" i="5"/>
  <c r="V5" i="5" s="1"/>
  <c r="N9" i="5"/>
  <c r="S8" i="5"/>
  <c r="R9" i="5"/>
  <c r="F8" i="5"/>
  <c r="G8" i="5" s="1"/>
  <c r="L7" i="5"/>
  <c r="L3" i="5"/>
  <c r="T4" i="5"/>
  <c r="V4" i="5" s="1"/>
  <c r="T8" i="5"/>
  <c r="V8" i="5" s="1"/>
  <c r="L2" i="5"/>
  <c r="L5" i="5"/>
  <c r="L4" i="5"/>
  <c r="T3" i="5"/>
  <c r="V3" i="5" s="1"/>
  <c r="L6" i="5"/>
  <c r="O6" i="5"/>
  <c r="P6" i="5" s="1"/>
  <c r="O8" i="5"/>
  <c r="P8" i="5" s="1"/>
  <c r="S7" i="5"/>
  <c r="S3" i="5"/>
  <c r="U3" i="5"/>
  <c r="U5" i="5"/>
  <c r="U7" i="5"/>
  <c r="F7" i="5"/>
  <c r="G7" i="5" s="1"/>
  <c r="E9" i="5"/>
  <c r="O5" i="5"/>
  <c r="P5" i="5" s="1"/>
  <c r="F3" i="5"/>
  <c r="G3" i="5" s="1"/>
  <c r="J9" i="5"/>
  <c r="L8" i="5"/>
  <c r="O2" i="5"/>
  <c r="P2" i="5" s="1"/>
  <c r="O4" i="5"/>
  <c r="P4" i="5" s="1"/>
  <c r="S2" i="5"/>
  <c r="S5" i="5"/>
  <c r="U2" i="5"/>
  <c r="U4" i="5"/>
  <c r="U6" i="5"/>
  <c r="U8" i="5"/>
  <c r="I9" i="5"/>
  <c r="K9" i="5"/>
  <c r="O7" i="5"/>
  <c r="P7" i="5" s="1"/>
  <c r="O3" i="5"/>
  <c r="P3" i="5" s="1"/>
  <c r="V9" i="7"/>
  <c r="W9" i="7"/>
  <c r="F2" i="7"/>
  <c r="G2" i="7" s="1"/>
  <c r="H9" i="5"/>
  <c r="F6" i="5"/>
  <c r="G6" i="5" s="1"/>
  <c r="F5" i="5"/>
  <c r="G5" i="5" s="1"/>
  <c r="F4" i="5"/>
  <c r="G4" i="5" s="1"/>
  <c r="V9" i="5" l="1"/>
  <c r="T9" i="5"/>
  <c r="U9" i="5"/>
  <c r="W4" i="5"/>
  <c r="W7" i="5"/>
  <c r="W5" i="5"/>
  <c r="W9" i="5"/>
  <c r="W2" i="5"/>
  <c r="W8" i="5"/>
  <c r="W3" i="5"/>
  <c r="W6" i="5"/>
  <c r="J9" i="4"/>
  <c r="I9" i="4"/>
  <c r="C9" i="4"/>
  <c r="B9" i="4"/>
  <c r="E9" i="4"/>
  <c r="D9" i="4"/>
  <c r="R9" i="4"/>
  <c r="Q9" i="4"/>
  <c r="W3" i="4"/>
  <c r="V2" i="4"/>
  <c r="U3" i="4"/>
  <c r="U4" i="4"/>
  <c r="W4" i="4" s="1"/>
  <c r="U5" i="4"/>
  <c r="U6" i="4"/>
  <c r="U7" i="4"/>
  <c r="W7" i="4" s="1"/>
  <c r="U8" i="4"/>
  <c r="W8" i="4" s="1"/>
  <c r="U2" i="4"/>
  <c r="T3" i="4"/>
  <c r="T4" i="4"/>
  <c r="V4" i="4" s="1"/>
  <c r="T5" i="4"/>
  <c r="V5" i="4" s="1"/>
  <c r="T6" i="4"/>
  <c r="V6" i="4" s="1"/>
  <c r="T7" i="4"/>
  <c r="V7" i="4" s="1"/>
  <c r="T8" i="4"/>
  <c r="V8" i="4" s="1"/>
  <c r="S4" i="4"/>
  <c r="S5" i="4"/>
  <c r="S6" i="4"/>
  <c r="S7" i="4"/>
  <c r="S8" i="4"/>
  <c r="S2" i="4"/>
  <c r="T9" i="4" l="1"/>
  <c r="U9" i="4"/>
  <c r="W2" i="4"/>
  <c r="W5" i="4"/>
  <c r="V3" i="4"/>
  <c r="W6" i="4"/>
  <c r="O3" i="4"/>
  <c r="P3" i="4" s="1"/>
  <c r="O4" i="4"/>
  <c r="P4" i="4" s="1"/>
  <c r="O5" i="4"/>
  <c r="P5" i="4" s="1"/>
  <c r="O6" i="4"/>
  <c r="P6" i="4" s="1"/>
  <c r="O7" i="4"/>
  <c r="P7" i="4" s="1"/>
  <c r="O8" i="4"/>
  <c r="P8" i="4" s="1"/>
  <c r="L3" i="4"/>
  <c r="L4" i="4"/>
  <c r="L5" i="4"/>
  <c r="L6" i="4"/>
  <c r="L7" i="4"/>
  <c r="L8" i="4"/>
  <c r="G3" i="4"/>
  <c r="G5" i="4"/>
  <c r="G6" i="4"/>
  <c r="G7" i="4"/>
  <c r="G8" i="4"/>
  <c r="F2" i="5" l="1"/>
  <c r="G2" i="5" s="1"/>
  <c r="D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5FD6AE-A1A9-4283-A263-D37C3EF2CDE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362ACC0-18D4-43A4-B05B-5D470E13A0F4}" name="WorksheetConnection_Visualisasi!$C$3:$C$10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VisualisasiC3C101"/>
        </x15:connection>
      </ext>
    </extLst>
  </connection>
</connections>
</file>

<file path=xl/sharedStrings.xml><?xml version="1.0" encoding="utf-8"?>
<sst xmlns="http://schemas.openxmlformats.org/spreadsheetml/2006/main" count="558" uniqueCount="109">
  <si>
    <t>CABANG</t>
  </si>
  <si>
    <t>JUMLAH PELANGGAN JANUARI</t>
  </si>
  <si>
    <t>SIDOARJO</t>
  </si>
  <si>
    <t>WARU 1</t>
  </si>
  <si>
    <t>WARU 2</t>
  </si>
  <si>
    <t>TAMAN</t>
  </si>
  <si>
    <t>GEDANGAN</t>
  </si>
  <si>
    <t>KRIAN</t>
  </si>
  <si>
    <t>PORONG</t>
  </si>
  <si>
    <t>TOTAL</t>
  </si>
  <si>
    <t>PENDAPATAN AIR BULAN JANUARI</t>
  </si>
  <si>
    <t>SELISIH PENDAPATAN</t>
  </si>
  <si>
    <t>PRESENTASE PENDAPATAN</t>
  </si>
  <si>
    <t>PENDAPATAN AIR BULAN FEBRUARI</t>
  </si>
  <si>
    <t>JUMLAH PELANGGAN BULAN FEBRUARI</t>
  </si>
  <si>
    <t>KONSUMSI GOL 2 BULAN JANUARI</t>
  </si>
  <si>
    <t>KONSUMSI GOL 2 BULAN FEBRUARI</t>
  </si>
  <si>
    <t>KONSUMSI TOTAL BULAN JANUARI</t>
  </si>
  <si>
    <t>KONSUMSI TOTAL BULAN FEBRUARI</t>
  </si>
  <si>
    <t>PRESENTASE KONSUMSI</t>
  </si>
  <si>
    <t>AIR DISTRIBUSI BULAN JANUARI</t>
  </si>
  <si>
    <t>AIR DISTRIBUSI BULAN FEBRUARI</t>
  </si>
  <si>
    <t xml:space="preserve">SELISIH AIR DISTRIBUSI </t>
  </si>
  <si>
    <t xml:space="preserve">PRESENTASE SELISIH AIR DISTRIBUSI </t>
  </si>
  <si>
    <t>AIR TERJUAL BULAN JANUARI</t>
  </si>
  <si>
    <t>AIR TERJUAL BULAN FEBRUARI</t>
  </si>
  <si>
    <t>SELISIH AIR TERJUAL</t>
  </si>
  <si>
    <t>TKA BULAN JANUARI</t>
  </si>
  <si>
    <t>TKA BULAN FEBRUARI</t>
  </si>
  <si>
    <t>PRESETASE TKA BULAN JANUARI</t>
  </si>
  <si>
    <t>PRESENTASE TKA BULAN FEBRUARI</t>
  </si>
  <si>
    <t>JUMLAH PELANGGAN BULAN MARET</t>
  </si>
  <si>
    <t>JUMLAH PELANGGAN FEBRUARI</t>
  </si>
  <si>
    <t>PENDAPATAN AIR BULAN MARET</t>
  </si>
  <si>
    <t>KONSUMSI GOL 2 BULAN MARET</t>
  </si>
  <si>
    <t>KONSUMSI TOTAL BULAN MARET</t>
  </si>
  <si>
    <t>AIR DISTRIBUSI BULAN MARET</t>
  </si>
  <si>
    <t>AIR TERJUAL BULAN MARET</t>
  </si>
  <si>
    <t>TKA BULAN MARET</t>
  </si>
  <si>
    <t>PRESETASE TKA BULAN FEBRUARI</t>
  </si>
  <si>
    <t>PRESENTASE TKA BULAN MARET</t>
  </si>
  <si>
    <t>JUMLAH PELANGGAN MARET</t>
  </si>
  <si>
    <t>JUMLAH PELANGGAN BULAN APRIL</t>
  </si>
  <si>
    <t>PENDAPATAN AIR BULAN APRIL</t>
  </si>
  <si>
    <t>KONSUMSI GOL 2 BULAN APRIL</t>
  </si>
  <si>
    <t>KONSUMSI TOTAL BULAN APRIL</t>
  </si>
  <si>
    <t>AIR DISTRIBUSI BULAN APRIL</t>
  </si>
  <si>
    <t>AIR TERJUAL BULAN APRIL</t>
  </si>
  <si>
    <t>TKA BULAN APRIL</t>
  </si>
  <si>
    <t>PRESETASE TKA BULAN MARET</t>
  </si>
  <si>
    <t>PRESENTASE TKA BULAN APRIL</t>
  </si>
  <si>
    <t>JUMLAH PELANGGAN APRIL</t>
  </si>
  <si>
    <t>JUMLAH PELANGGAN BULAN MEI</t>
  </si>
  <si>
    <t>PENDAPATAN AIR BULAN MEI</t>
  </si>
  <si>
    <t>KONSUMSI GOL 2 BULAN MEI</t>
  </si>
  <si>
    <t>KONSUMSI TOTAL BULAN MEI</t>
  </si>
  <si>
    <t>AIR DISTRIBUSI BULAN MEI</t>
  </si>
  <si>
    <t>AIR TERJUAL BULAN MEI</t>
  </si>
  <si>
    <t>TKA BULAN MEI</t>
  </si>
  <si>
    <t>PRESETASE TKA BULAN APRIL</t>
  </si>
  <si>
    <t>PRESENTASE TKA BULAN MEI</t>
  </si>
  <si>
    <t>JUMLAH PELANGGAN MEI</t>
  </si>
  <si>
    <t>JUMLAH PELANGGAN BULAN JUNI</t>
  </si>
  <si>
    <t>PENDAPATAN AIR BULAN JUNI</t>
  </si>
  <si>
    <t>KONSUMSI GOL 2 BULAN JUNI</t>
  </si>
  <si>
    <t>KONSUMSI TOTAL BULAN JUNI</t>
  </si>
  <si>
    <t>AIR DISTRIBUSI BULAN JUNI</t>
  </si>
  <si>
    <t>AIR TERJUAL BULAN JUNI</t>
  </si>
  <si>
    <t>TKA BULAN JUNI</t>
  </si>
  <si>
    <t>PRESETASE TKA BULAN MEI</t>
  </si>
  <si>
    <t>PRESENTASE TKA BULAN JUNI</t>
  </si>
  <si>
    <t>JUMLAH PELANGGAN JUNI</t>
  </si>
  <si>
    <t>PENDAPATAN AIR BULAN JULI</t>
  </si>
  <si>
    <t>JUMLAH PELANGGAN BULAN JULI</t>
  </si>
  <si>
    <t>KONSUMSI GOL 2 BULAN JULI</t>
  </si>
  <si>
    <t>KONSUMSI TOTAL BULAN JULI</t>
  </si>
  <si>
    <t>AIR DISTRIBUSI BULAN JULI</t>
  </si>
  <si>
    <t>AIR TERJUAL BULAN JULI</t>
  </si>
  <si>
    <t>TKA BULAN JULI</t>
  </si>
  <si>
    <t>PRESETASE TKA BULAN JUNI</t>
  </si>
  <si>
    <t>PRESENTASE TKA BULAN JULI</t>
  </si>
  <si>
    <t>JUMLAH PELANGGAN JULI</t>
  </si>
  <si>
    <t>JUMLAH PELANGGAN BULAN AGUSTUS</t>
  </si>
  <si>
    <t>PENDAPATAN AIR BULAN AGUSTUS</t>
  </si>
  <si>
    <t>KONSUMSI GOL 2 BULAN AGUSTUS</t>
  </si>
  <si>
    <t>KONSUMSI TOTAL BULAN AGUSTUS</t>
  </si>
  <si>
    <t>AIR DISTRIBUSI BULAN AGUSTUS</t>
  </si>
  <si>
    <t>AIR TERJUAL BULAN AGUSTUS</t>
  </si>
  <si>
    <t>TKA BULAN AGUSTUS</t>
  </si>
  <si>
    <t>PRESETASE TKA BULAN JULI</t>
  </si>
  <si>
    <t>PRESENTASE TKA BULAN AGUSTUS</t>
  </si>
  <si>
    <t>JUMLAH PELANGGAN AGUSTUS</t>
  </si>
  <si>
    <t>JUMLAH PELANGGAN BULAN SEPTEMBER</t>
  </si>
  <si>
    <t>PENDAPATAN AIR BULAN SEPTEMBER</t>
  </si>
  <si>
    <t>KONSUMSI GOL 2 BULAN SEPTEMBER</t>
  </si>
  <si>
    <t>KONSUMSI TOTAL BULAN SEPTEMBER</t>
  </si>
  <si>
    <t>AIR DISTRIBUSI BULAN SEPTEMBER</t>
  </si>
  <si>
    <t>AIR TERJUAL BULAN SEPTEMBER</t>
  </si>
  <si>
    <t>TKA BULAN SEPTEMBER</t>
  </si>
  <si>
    <t>PRESETASE TKA BULAN AGUSTUS</t>
  </si>
  <si>
    <t>PRESENTASE TKA BULAN SEPTEMBER</t>
  </si>
  <si>
    <t>JUMLAH PELANGGAN DESEMBER 2024</t>
  </si>
  <si>
    <t>JUMLAH PELANGGAN BULAN JANUARI</t>
  </si>
  <si>
    <t>PENDAPATAN AIR BULAN DESEMBER 2024</t>
  </si>
  <si>
    <t>KONSUMSI GOL 2 BULAN DESEMBER 2024</t>
  </si>
  <si>
    <t>KONSUMSI TOTAL BULAN DESEMBER 2024</t>
  </si>
  <si>
    <t>AIR DISTRIBUSI BULAN DESEMBER 2024</t>
  </si>
  <si>
    <t>AIR TERJUAL BULAN DESEMBER 2024</t>
  </si>
  <si>
    <t>TKA BULAN DESEMBER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</si>
</sst>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sz val="11"/>
      <color theme="1"/>
      <name val="Courier New"/>
      <family val="3"/>
    </font>
    <font>
      <sz val="12"/>
      <color theme="1"/>
      <name val="Courier New"/>
      <family val="3"/>
    </font>
    <font>
      <sz val="10"/>
      <name val="Courier New"/>
      <family val="3"/>
    </font>
    <font>
      <b/>
      <sz val="12"/>
      <color theme="1"/>
      <name val="Courier New"/>
      <family val="3"/>
    </font>
    <font>
      <sz val="10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2" fillId="0" borderId="1" xfId="0" applyNumberFormat="1" applyFont="1" applyBorder="1"/>
    <xf numFmtId="3" fontId="1" fillId="0" borderId="1" xfId="0" applyNumberFormat="1" applyFont="1" applyBorder="1"/>
    <xf numFmtId="0" fontId="2" fillId="0" borderId="1" xfId="0" applyFont="1" applyBorder="1"/>
    <xf numFmtId="10" fontId="2" fillId="0" borderId="1" xfId="0" applyNumberFormat="1" applyFont="1" applyBorder="1"/>
    <xf numFmtId="3" fontId="3" fillId="0" borderId="1" xfId="0" applyNumberFormat="1" applyFont="1" applyBorder="1" applyAlignment="1">
      <alignment vertical="center"/>
    </xf>
    <xf numFmtId="3" fontId="2" fillId="0" borderId="3" xfId="0" applyNumberFormat="1" applyFont="1" applyBorder="1"/>
    <xf numFmtId="10" fontId="2" fillId="0" borderId="3" xfId="0" applyNumberFormat="1" applyFont="1" applyBorder="1"/>
    <xf numFmtId="0" fontId="2" fillId="0" borderId="0" xfId="0" applyFont="1"/>
    <xf numFmtId="10" fontId="2" fillId="0" borderId="0" xfId="0" applyNumberFormat="1" applyFont="1"/>
    <xf numFmtId="3" fontId="4" fillId="0" borderId="0" xfId="0" applyNumberFormat="1" applyFont="1"/>
    <xf numFmtId="10" fontId="4" fillId="0" borderId="0" xfId="0" applyNumberFormat="1" applyFont="1"/>
    <xf numFmtId="0" fontId="4" fillId="0" borderId="0" xfId="0" applyFont="1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  <xf numFmtId="0" fontId="4" fillId="2" borderId="1" xfId="0" applyFont="1" applyFill="1" applyBorder="1"/>
    <xf numFmtId="3" fontId="4" fillId="2" borderId="1" xfId="0" applyNumberFormat="1" applyFont="1" applyFill="1" applyBorder="1"/>
    <xf numFmtId="3" fontId="2" fillId="2" borderId="1" xfId="0" applyNumberFormat="1" applyFont="1" applyFill="1" applyBorder="1"/>
    <xf numFmtId="3" fontId="4" fillId="2" borderId="2" xfId="0" applyNumberFormat="1" applyFont="1" applyFill="1" applyBorder="1"/>
    <xf numFmtId="10" fontId="4" fillId="2" borderId="1" xfId="0" applyNumberFormat="1" applyFont="1" applyFill="1" applyBorder="1"/>
    <xf numFmtId="3" fontId="1" fillId="0" borderId="0" xfId="0" applyNumberFormat="1" applyFont="1"/>
    <xf numFmtId="3" fontId="5" fillId="0" borderId="4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sualisasi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ualisasi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291C-BC39-4912-BD1C-B313EEB7AFB6}">
  <dimension ref="A1:W19"/>
  <sheetViews>
    <sheetView zoomScale="74" workbookViewId="0">
      <selection activeCell="D16" sqref="D16"/>
    </sheetView>
  </sheetViews>
  <sheetFormatPr defaultRowHeight="15.75" x14ac:dyDescent="0.25"/>
  <cols>
    <col min="1" max="1" width="11.125" bestFit="1" customWidth="1"/>
    <col min="2" max="3" width="39.5" bestFit="1" customWidth="1"/>
    <col min="4" max="4" width="44.625" bestFit="1" customWidth="1"/>
    <col min="5" max="5" width="36.875" bestFit="1" customWidth="1"/>
    <col min="6" max="6" width="24" bestFit="1" customWidth="1"/>
    <col min="7" max="7" width="27.875" bestFit="1" customWidth="1"/>
    <col min="8" max="8" width="44.625" bestFit="1" customWidth="1"/>
    <col min="9" max="9" width="36.875" bestFit="1" customWidth="1"/>
    <col min="10" max="10" width="44.625" bestFit="1" customWidth="1"/>
    <col min="11" max="11" width="36.875" bestFit="1" customWidth="1"/>
    <col min="12" max="12" width="25.25" bestFit="1" customWidth="1"/>
    <col min="13" max="13" width="44.625" bestFit="1" customWidth="1"/>
    <col min="14" max="14" width="36.875" bestFit="1" customWidth="1"/>
    <col min="15" max="15" width="30.5" bestFit="1" customWidth="1"/>
    <col min="16" max="16" width="44.625" bestFit="1" customWidth="1"/>
    <col min="17" max="17" width="40.75" bestFit="1" customWidth="1"/>
    <col min="18" max="18" width="33" bestFit="1" customWidth="1"/>
    <col min="19" max="19" width="25.25" bestFit="1" customWidth="1"/>
    <col min="20" max="20" width="30.5" bestFit="1" customWidth="1"/>
    <col min="21" max="21" width="22.75" bestFit="1" customWidth="1"/>
    <col min="22" max="22" width="35.625" bestFit="1" customWidth="1"/>
    <col min="23" max="23" width="38.25" bestFit="1" customWidth="1"/>
  </cols>
  <sheetData>
    <row r="1" spans="1:23" x14ac:dyDescent="0.25">
      <c r="A1" s="15" t="s">
        <v>0</v>
      </c>
      <c r="B1" s="15" t="s">
        <v>101</v>
      </c>
      <c r="C1" s="15" t="s">
        <v>102</v>
      </c>
      <c r="D1" s="15" t="s">
        <v>103</v>
      </c>
      <c r="E1" s="15" t="s">
        <v>10</v>
      </c>
      <c r="F1" s="15" t="s">
        <v>11</v>
      </c>
      <c r="G1" s="15" t="s">
        <v>12</v>
      </c>
      <c r="H1" s="15" t="s">
        <v>104</v>
      </c>
      <c r="I1" s="15" t="s">
        <v>15</v>
      </c>
      <c r="J1" s="15" t="s">
        <v>105</v>
      </c>
      <c r="K1" s="15" t="s">
        <v>17</v>
      </c>
      <c r="L1" s="15" t="s">
        <v>19</v>
      </c>
      <c r="M1" s="15" t="s">
        <v>106</v>
      </c>
      <c r="N1" s="15" t="s">
        <v>20</v>
      </c>
      <c r="O1" s="15" t="s">
        <v>22</v>
      </c>
      <c r="P1" s="15" t="s">
        <v>23</v>
      </c>
      <c r="Q1" s="15" t="s">
        <v>107</v>
      </c>
      <c r="R1" s="15" t="s">
        <v>24</v>
      </c>
      <c r="S1" s="15" t="s">
        <v>26</v>
      </c>
      <c r="T1" s="15" t="s">
        <v>108</v>
      </c>
      <c r="U1" s="15" t="s">
        <v>27</v>
      </c>
      <c r="V1" s="15" t="s">
        <v>29</v>
      </c>
      <c r="W1" s="15" t="s">
        <v>30</v>
      </c>
    </row>
    <row r="2" spans="1:23" x14ac:dyDescent="0.25">
      <c r="A2" s="3" t="s">
        <v>2</v>
      </c>
      <c r="B2" s="13">
        <v>46406</v>
      </c>
      <c r="C2" s="1">
        <v>46450</v>
      </c>
      <c r="D2" s="21">
        <v>7668872800</v>
      </c>
      <c r="E2" s="2">
        <v>7744073901</v>
      </c>
      <c r="F2" s="1">
        <f>E2-D2</f>
        <v>75201101</v>
      </c>
      <c r="G2" s="4">
        <f>F2/D2</f>
        <v>9.8060175153772272E-3</v>
      </c>
      <c r="H2" s="21">
        <v>672138</v>
      </c>
      <c r="I2" s="2">
        <v>691283</v>
      </c>
      <c r="J2" s="21">
        <v>884838</v>
      </c>
      <c r="K2" s="2">
        <v>891195</v>
      </c>
      <c r="L2" s="4">
        <f>K2/J2</f>
        <v>1.0071843659517334</v>
      </c>
      <c r="M2" s="5">
        <v>1460240.4100000001</v>
      </c>
      <c r="N2" s="5">
        <v>1461926.8766666672</v>
      </c>
      <c r="O2" s="1">
        <f>N2-M2</f>
        <v>1686.4666666670237</v>
      </c>
      <c r="P2" s="4">
        <f>O2/M2</f>
        <v>1.1549239804060918E-3</v>
      </c>
      <c r="Q2" s="21">
        <v>884838</v>
      </c>
      <c r="R2" s="2">
        <v>891195</v>
      </c>
      <c r="S2" s="1">
        <f>R2-Q2</f>
        <v>6357</v>
      </c>
      <c r="T2" s="1">
        <f>M2-Q2</f>
        <v>575402.41000000015</v>
      </c>
      <c r="U2" s="1">
        <f>N2-R2</f>
        <v>570731.87666666717</v>
      </c>
      <c r="V2" s="4">
        <f>T2/M2</f>
        <v>0.39404635432599766</v>
      </c>
      <c r="W2" s="4">
        <f>U2/N2</f>
        <v>0.39039700670117666</v>
      </c>
    </row>
    <row r="3" spans="1:23" x14ac:dyDescent="0.25">
      <c r="A3" s="3" t="s">
        <v>6</v>
      </c>
      <c r="B3" s="13">
        <v>34520</v>
      </c>
      <c r="C3" s="1">
        <v>34769</v>
      </c>
      <c r="D3" s="21">
        <v>5088762800</v>
      </c>
      <c r="E3" s="2">
        <v>5440680942</v>
      </c>
      <c r="F3" s="1">
        <f t="shared" ref="F3:F8" si="0">E3-D3</f>
        <v>351918142</v>
      </c>
      <c r="G3" s="4">
        <f t="shared" ref="G3:G8" si="1">F3/D3</f>
        <v>6.9155933540466855E-2</v>
      </c>
      <c r="H3" s="21">
        <v>447284</v>
      </c>
      <c r="I3" s="2">
        <v>486915</v>
      </c>
      <c r="J3" s="21">
        <v>579638</v>
      </c>
      <c r="K3" s="2">
        <v>616080</v>
      </c>
      <c r="L3" s="4">
        <f t="shared" ref="L3:L8" si="2">K3/J3</f>
        <v>1.0628702742056249</v>
      </c>
      <c r="M3" s="5">
        <v>995788.8899999999</v>
      </c>
      <c r="N3" s="5">
        <v>967330.04</v>
      </c>
      <c r="O3" s="1">
        <f t="shared" ref="O3:O8" si="3">N3-M3</f>
        <v>-28458.84999999986</v>
      </c>
      <c r="P3" s="4">
        <f t="shared" ref="P3:P8" si="4">O3/M3</f>
        <v>-2.8579200155566972E-2</v>
      </c>
      <c r="Q3" s="21">
        <v>579638</v>
      </c>
      <c r="R3" s="2">
        <v>616080</v>
      </c>
      <c r="S3" s="1">
        <f>R3-Q3</f>
        <v>36442</v>
      </c>
      <c r="T3" s="1">
        <f t="shared" ref="T3:U8" si="5">M3-Q3</f>
        <v>416150.8899999999</v>
      </c>
      <c r="U3" s="1">
        <f t="shared" si="5"/>
        <v>351250.04000000004</v>
      </c>
      <c r="V3" s="4">
        <f t="shared" ref="V3:W8" si="6">T3/M3</f>
        <v>0.41791075817284923</v>
      </c>
      <c r="W3" s="4">
        <f t="shared" si="6"/>
        <v>0.36311292472629098</v>
      </c>
    </row>
    <row r="4" spans="1:23" x14ac:dyDescent="0.25">
      <c r="A4" s="3" t="s">
        <v>5</v>
      </c>
      <c r="B4" s="13">
        <v>33828</v>
      </c>
      <c r="C4" s="1">
        <v>33811</v>
      </c>
      <c r="D4" s="21">
        <v>4477972850</v>
      </c>
      <c r="E4" s="2">
        <v>4766698773</v>
      </c>
      <c r="F4" s="1">
        <f t="shared" si="0"/>
        <v>288725923</v>
      </c>
      <c r="G4" s="4">
        <f>F4/D4</f>
        <v>6.4476925758940234E-2</v>
      </c>
      <c r="H4" s="21">
        <v>562800</v>
      </c>
      <c r="I4" s="2">
        <v>589039</v>
      </c>
      <c r="J4" s="21">
        <v>622583</v>
      </c>
      <c r="K4" s="2">
        <v>653602</v>
      </c>
      <c r="L4" s="4">
        <f t="shared" si="2"/>
        <v>1.0498230757987288</v>
      </c>
      <c r="M4" s="5">
        <v>1135411.55</v>
      </c>
      <c r="N4" s="5">
        <v>1161555.9600000002</v>
      </c>
      <c r="O4" s="1">
        <f t="shared" si="3"/>
        <v>26144.410000000149</v>
      </c>
      <c r="P4" s="4">
        <f t="shared" si="4"/>
        <v>2.3026373124353145E-2</v>
      </c>
      <c r="Q4" s="21">
        <v>622583</v>
      </c>
      <c r="R4" s="2">
        <v>653602</v>
      </c>
      <c r="S4" s="1">
        <f t="shared" ref="S4:S8" si="7">R4-Q4</f>
        <v>31019</v>
      </c>
      <c r="T4" s="1">
        <f t="shared" si="5"/>
        <v>512828.55000000005</v>
      </c>
      <c r="U4" s="1">
        <f t="shared" si="5"/>
        <v>507953.9600000002</v>
      </c>
      <c r="V4" s="4">
        <f t="shared" si="6"/>
        <v>0.4516675473311858</v>
      </c>
      <c r="W4" s="4">
        <f t="shared" si="6"/>
        <v>0.43730476833849669</v>
      </c>
    </row>
    <row r="5" spans="1:23" x14ac:dyDescent="0.25">
      <c r="A5" s="3" t="s">
        <v>3</v>
      </c>
      <c r="B5" s="13">
        <v>28075</v>
      </c>
      <c r="C5" s="1">
        <v>28116</v>
      </c>
      <c r="D5" s="21">
        <v>3825993000</v>
      </c>
      <c r="E5" s="2">
        <v>4029436166</v>
      </c>
      <c r="F5" s="1">
        <f t="shared" si="0"/>
        <v>203443166</v>
      </c>
      <c r="G5" s="4">
        <f t="shared" si="1"/>
        <v>5.3173951442148482E-2</v>
      </c>
      <c r="H5" s="21">
        <v>394033</v>
      </c>
      <c r="I5" s="2">
        <v>399443</v>
      </c>
      <c r="J5" s="21">
        <v>465551</v>
      </c>
      <c r="K5" s="2">
        <v>478438</v>
      </c>
      <c r="L5" s="4">
        <f t="shared" si="2"/>
        <v>1.0276811777871813</v>
      </c>
      <c r="M5" s="5">
        <v>842911</v>
      </c>
      <c r="N5" s="5">
        <v>758750.77777777775</v>
      </c>
      <c r="O5" s="1">
        <f t="shared" si="3"/>
        <v>-84160.222222222248</v>
      </c>
      <c r="P5" s="4">
        <f t="shared" si="4"/>
        <v>-9.9844731202015688E-2</v>
      </c>
      <c r="Q5" s="21">
        <v>465551</v>
      </c>
      <c r="R5" s="2">
        <v>478438</v>
      </c>
      <c r="S5" s="1">
        <f t="shared" si="7"/>
        <v>12887</v>
      </c>
      <c r="T5" s="1">
        <f t="shared" si="5"/>
        <v>377360</v>
      </c>
      <c r="U5" s="1">
        <f t="shared" si="5"/>
        <v>280312.77777777775</v>
      </c>
      <c r="V5" s="4">
        <f t="shared" si="6"/>
        <v>0.44768664781928341</v>
      </c>
      <c r="W5" s="4">
        <f t="shared" si="6"/>
        <v>0.36943985559890324</v>
      </c>
    </row>
    <row r="6" spans="1:23" x14ac:dyDescent="0.25">
      <c r="A6" s="3" t="s">
        <v>4</v>
      </c>
      <c r="B6" s="13">
        <v>21208</v>
      </c>
      <c r="C6" s="1">
        <v>21216</v>
      </c>
      <c r="D6" s="21">
        <v>3054563900</v>
      </c>
      <c r="E6" s="2">
        <v>3237865121</v>
      </c>
      <c r="F6" s="1">
        <f t="shared" si="0"/>
        <v>183301221</v>
      </c>
      <c r="G6" s="4">
        <f t="shared" si="1"/>
        <v>6.0008965928000396E-2</v>
      </c>
      <c r="H6" s="21">
        <v>338382</v>
      </c>
      <c r="I6" s="2">
        <v>353354</v>
      </c>
      <c r="J6" s="21">
        <v>389282</v>
      </c>
      <c r="K6" s="2">
        <v>405708</v>
      </c>
      <c r="L6" s="4">
        <f t="shared" si="2"/>
        <v>1.0421956319583232</v>
      </c>
      <c r="M6" s="5">
        <v>490952.19999999995</v>
      </c>
      <c r="N6" s="5">
        <v>573968.82222222234</v>
      </c>
      <c r="O6" s="1">
        <f t="shared" si="3"/>
        <v>83016.622222222388</v>
      </c>
      <c r="P6" s="4">
        <f t="shared" si="4"/>
        <v>0.16909308527840877</v>
      </c>
      <c r="Q6" s="21">
        <v>389282</v>
      </c>
      <c r="R6" s="2">
        <v>405708</v>
      </c>
      <c r="S6" s="1">
        <f t="shared" si="7"/>
        <v>16426</v>
      </c>
      <c r="T6" s="1">
        <f t="shared" si="5"/>
        <v>101670.19999999995</v>
      </c>
      <c r="U6" s="1">
        <f t="shared" si="5"/>
        <v>168260.82222222234</v>
      </c>
      <c r="V6" s="4">
        <f t="shared" si="6"/>
        <v>0.20708777758812358</v>
      </c>
      <c r="W6" s="4">
        <f t="shared" si="6"/>
        <v>0.29315324405735255</v>
      </c>
    </row>
    <row r="7" spans="1:23" x14ac:dyDescent="0.25">
      <c r="A7" s="3" t="s">
        <v>8</v>
      </c>
      <c r="B7" s="13">
        <v>15809</v>
      </c>
      <c r="C7" s="1">
        <v>15780</v>
      </c>
      <c r="D7" s="21">
        <v>1817115100</v>
      </c>
      <c r="E7" s="2">
        <v>2243411191</v>
      </c>
      <c r="F7" s="1">
        <f t="shared" si="0"/>
        <v>426296091</v>
      </c>
      <c r="G7" s="4">
        <f t="shared" si="1"/>
        <v>0.23460048898388439</v>
      </c>
      <c r="H7" s="21">
        <v>176421</v>
      </c>
      <c r="I7" s="2">
        <v>198846</v>
      </c>
      <c r="J7" s="21">
        <v>219766</v>
      </c>
      <c r="K7" s="2">
        <v>258896</v>
      </c>
      <c r="L7" s="4">
        <f t="shared" si="2"/>
        <v>1.178053020030396</v>
      </c>
      <c r="M7" s="5">
        <v>384051.68000000011</v>
      </c>
      <c r="N7" s="5">
        <v>362813.01333333331</v>
      </c>
      <c r="O7" s="1">
        <f t="shared" si="3"/>
        <v>-21238.666666666802</v>
      </c>
      <c r="P7" s="4">
        <f t="shared" si="4"/>
        <v>-5.5301585106115915E-2</v>
      </c>
      <c r="Q7" s="21">
        <v>219766</v>
      </c>
      <c r="R7" s="2">
        <v>258896</v>
      </c>
      <c r="S7" s="1">
        <f t="shared" si="7"/>
        <v>39130</v>
      </c>
      <c r="T7" s="1">
        <f t="shared" si="5"/>
        <v>164285.68000000011</v>
      </c>
      <c r="U7" s="1">
        <f t="shared" si="5"/>
        <v>103917.01333333331</v>
      </c>
      <c r="V7" s="4">
        <f t="shared" si="6"/>
        <v>0.42776972099171667</v>
      </c>
      <c r="W7" s="4">
        <f t="shared" si="6"/>
        <v>0.28642030333641832</v>
      </c>
    </row>
    <row r="8" spans="1:23" x14ac:dyDescent="0.25">
      <c r="A8" s="3" t="s">
        <v>7</v>
      </c>
      <c r="B8" s="13">
        <v>6502</v>
      </c>
      <c r="C8" s="1">
        <v>6486</v>
      </c>
      <c r="D8" s="21">
        <v>608544200</v>
      </c>
      <c r="E8" s="2">
        <v>755099850</v>
      </c>
      <c r="F8" s="1">
        <f t="shared" si="0"/>
        <v>146555650</v>
      </c>
      <c r="G8" s="4">
        <f t="shared" si="1"/>
        <v>0.24082991835268497</v>
      </c>
      <c r="H8" s="21">
        <v>76832</v>
      </c>
      <c r="I8" s="2">
        <v>93004</v>
      </c>
      <c r="J8" s="21">
        <v>83487</v>
      </c>
      <c r="K8" s="2">
        <v>101684</v>
      </c>
      <c r="L8" s="4">
        <f t="shared" si="2"/>
        <v>1.2179620779283002</v>
      </c>
      <c r="M8" s="5">
        <v>138644.95000000001</v>
      </c>
      <c r="N8" s="5">
        <v>136229.65</v>
      </c>
      <c r="O8" s="6">
        <f t="shared" si="3"/>
        <v>-2415.3000000000175</v>
      </c>
      <c r="P8" s="7">
        <f t="shared" si="4"/>
        <v>-1.7420757120977123E-2</v>
      </c>
      <c r="Q8" s="21">
        <v>83487</v>
      </c>
      <c r="R8" s="2">
        <v>101684</v>
      </c>
      <c r="S8" s="6">
        <f t="shared" si="7"/>
        <v>18197</v>
      </c>
      <c r="T8" s="1">
        <f t="shared" si="5"/>
        <v>55157.950000000012</v>
      </c>
      <c r="U8" s="1">
        <f t="shared" si="5"/>
        <v>34545.649999999994</v>
      </c>
      <c r="V8" s="4">
        <f t="shared" si="6"/>
        <v>0.39783598320746633</v>
      </c>
      <c r="W8" s="4">
        <f t="shared" si="6"/>
        <v>0.25358392978327404</v>
      </c>
    </row>
    <row r="9" spans="1:23" ht="16.5" x14ac:dyDescent="0.3">
      <c r="A9" s="16" t="s">
        <v>9</v>
      </c>
      <c r="B9" s="17">
        <f>SUM(B2:B8)</f>
        <v>186348</v>
      </c>
      <c r="C9" s="17">
        <f>SUM(C2:C8)</f>
        <v>186628</v>
      </c>
      <c r="D9" s="17">
        <f>SUM(D2:D8)</f>
        <v>26541824650</v>
      </c>
      <c r="E9" s="17">
        <f>SUM(E2:E8)</f>
        <v>28217265944</v>
      </c>
      <c r="F9" s="10"/>
      <c r="G9" s="11"/>
      <c r="H9" s="17">
        <f>SUM(H2:H8)</f>
        <v>2667890</v>
      </c>
      <c r="I9" s="17">
        <f>SUM(I2:I8)</f>
        <v>2811884</v>
      </c>
      <c r="J9" s="17">
        <f>SUM(J2:J8)</f>
        <v>3245145</v>
      </c>
      <c r="K9" s="17">
        <f>SUM(K2:K8)</f>
        <v>3405603</v>
      </c>
      <c r="L9" s="9"/>
      <c r="M9" s="18">
        <f>SUM(M2:M8)</f>
        <v>5448000.6799999997</v>
      </c>
      <c r="N9" s="18">
        <f>SUM(N2:N8)</f>
        <v>5422575.1400000015</v>
      </c>
      <c r="O9" s="8"/>
      <c r="P9" s="8"/>
      <c r="Q9" s="17">
        <f>SUM(Q2:Q8)</f>
        <v>3245145</v>
      </c>
      <c r="R9" s="19">
        <f>SUM(R2:R8)</f>
        <v>3405603</v>
      </c>
      <c r="S9" s="10"/>
      <c r="T9" s="17">
        <f>SUM(T2:T8)</f>
        <v>2202855.6800000002</v>
      </c>
      <c r="U9" s="17">
        <f>SUM(U2:U8)</f>
        <v>2016972.1400000006</v>
      </c>
      <c r="V9" s="12"/>
      <c r="W9" s="8"/>
    </row>
    <row r="13" spans="1:23" x14ac:dyDescent="0.25">
      <c r="F13" s="24"/>
    </row>
    <row r="14" spans="1:23" x14ac:dyDescent="0.25">
      <c r="F14" s="24"/>
    </row>
    <row r="15" spans="1:23" x14ac:dyDescent="0.25">
      <c r="F15" s="24"/>
    </row>
    <row r="16" spans="1:23" x14ac:dyDescent="0.25">
      <c r="F16" s="24"/>
    </row>
    <row r="17" spans="6:6" x14ac:dyDescent="0.25">
      <c r="F17" s="24"/>
    </row>
    <row r="18" spans="6:6" x14ac:dyDescent="0.25">
      <c r="F18" s="24"/>
    </row>
    <row r="19" spans="6:6" x14ac:dyDescent="0.25">
      <c r="F19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277DB-ACF1-4EC3-8892-D8855DC01AB5}">
  <dimension ref="A1:W9"/>
  <sheetViews>
    <sheetView tabSelected="1" zoomScale="78" workbookViewId="0">
      <selection activeCell="D10" sqref="A10:XFD10"/>
    </sheetView>
  </sheetViews>
  <sheetFormatPr defaultRowHeight="15.75" x14ac:dyDescent="0.25"/>
  <cols>
    <col min="1" max="1" width="11.125" bestFit="1" customWidth="1"/>
    <col min="2" max="3" width="39.5" bestFit="1" customWidth="1"/>
    <col min="4" max="4" width="44.625" bestFit="1" customWidth="1"/>
    <col min="5" max="5" width="36.875" bestFit="1" customWidth="1"/>
    <col min="6" max="6" width="24" bestFit="1" customWidth="1"/>
    <col min="7" max="7" width="27.875" bestFit="1" customWidth="1"/>
    <col min="8" max="8" width="44.625" bestFit="1" customWidth="1"/>
    <col min="9" max="9" width="36.875" bestFit="1" customWidth="1"/>
    <col min="10" max="10" width="44.625" bestFit="1" customWidth="1"/>
    <col min="11" max="11" width="36.875" bestFit="1" customWidth="1"/>
    <col min="12" max="12" width="25.25" bestFit="1" customWidth="1"/>
    <col min="13" max="13" width="44.625" bestFit="1" customWidth="1"/>
    <col min="14" max="14" width="36.875" bestFit="1" customWidth="1"/>
    <col min="15" max="15" width="30.5" bestFit="1" customWidth="1"/>
    <col min="16" max="16" width="44.625" bestFit="1" customWidth="1"/>
    <col min="17" max="17" width="40.75" bestFit="1" customWidth="1"/>
    <col min="18" max="18" width="33" bestFit="1" customWidth="1"/>
    <col min="19" max="19" width="25.25" bestFit="1" customWidth="1"/>
    <col min="20" max="20" width="30.5" bestFit="1" customWidth="1"/>
    <col min="21" max="21" width="22.75" bestFit="1" customWidth="1"/>
    <col min="22" max="22" width="35.625" bestFit="1" customWidth="1"/>
    <col min="23" max="23" width="38.25" bestFit="1" customWidth="1"/>
  </cols>
  <sheetData>
    <row r="1" spans="1:23" x14ac:dyDescent="0.25">
      <c r="A1" s="15" t="s">
        <v>0</v>
      </c>
      <c r="B1" s="15" t="s">
        <v>101</v>
      </c>
      <c r="C1" s="15" t="s">
        <v>102</v>
      </c>
      <c r="D1" s="15" t="s">
        <v>103</v>
      </c>
      <c r="E1" s="15" t="s">
        <v>10</v>
      </c>
      <c r="F1" s="15" t="s">
        <v>11</v>
      </c>
      <c r="G1" s="15" t="s">
        <v>12</v>
      </c>
      <c r="H1" s="15" t="s">
        <v>104</v>
      </c>
      <c r="I1" s="15" t="s">
        <v>15</v>
      </c>
      <c r="J1" s="15" t="s">
        <v>105</v>
      </c>
      <c r="K1" s="15" t="s">
        <v>17</v>
      </c>
      <c r="L1" s="15" t="s">
        <v>19</v>
      </c>
      <c r="M1" s="15" t="s">
        <v>106</v>
      </c>
      <c r="N1" s="15" t="s">
        <v>20</v>
      </c>
      <c r="O1" s="15" t="s">
        <v>22</v>
      </c>
      <c r="P1" s="15" t="s">
        <v>23</v>
      </c>
      <c r="Q1" s="15" t="s">
        <v>107</v>
      </c>
      <c r="R1" s="15" t="s">
        <v>24</v>
      </c>
      <c r="S1" s="15" t="s">
        <v>26</v>
      </c>
      <c r="T1" s="15" t="s">
        <v>108</v>
      </c>
      <c r="U1" s="15" t="s">
        <v>27</v>
      </c>
      <c r="V1" s="15" t="s">
        <v>29</v>
      </c>
      <c r="W1" s="15" t="s">
        <v>30</v>
      </c>
    </row>
    <row r="2" spans="1:23" x14ac:dyDescent="0.25">
      <c r="A2" s="3" t="s">
        <v>2</v>
      </c>
      <c r="B2" s="13">
        <v>46406</v>
      </c>
      <c r="C2" s="1">
        <v>46450</v>
      </c>
      <c r="D2" s="21">
        <f>Januari!D2/31</f>
        <v>247382993.54838711</v>
      </c>
      <c r="E2" s="2">
        <f>Januari!E2/31</f>
        <v>249808835.51612905</v>
      </c>
      <c r="F2" s="1">
        <f>E2-D2</f>
        <v>2425841.9677419364</v>
      </c>
      <c r="G2" s="4">
        <f>F2/D2</f>
        <v>9.8060175153772307E-3</v>
      </c>
      <c r="H2" s="21">
        <f>Januari!H2/31</f>
        <v>21681.870967741936</v>
      </c>
      <c r="I2" s="2">
        <f>Januari!I2/31</f>
        <v>22299.451612903227</v>
      </c>
      <c r="J2" s="21">
        <f>Januari!J2/31</f>
        <v>28543.16129032258</v>
      </c>
      <c r="K2" s="2">
        <f>Januari!K2/31</f>
        <v>28748.225806451614</v>
      </c>
      <c r="L2" s="4">
        <f>K2/J2</f>
        <v>1.0071843659517337</v>
      </c>
      <c r="M2" s="5">
        <v>1460240.4100000001</v>
      </c>
      <c r="N2" s="5">
        <v>1461926.8766666672</v>
      </c>
      <c r="O2" s="1">
        <f>N2-M2</f>
        <v>1686.4666666670237</v>
      </c>
      <c r="P2" s="4">
        <f>O2/M2</f>
        <v>1.1549239804060918E-3</v>
      </c>
      <c r="Q2" s="21">
        <v>884838</v>
      </c>
      <c r="R2" s="2">
        <v>891195</v>
      </c>
      <c r="S2" s="1">
        <f>R2-Q2</f>
        <v>6357</v>
      </c>
      <c r="T2" s="1">
        <f>M2-Q2</f>
        <v>575402.41000000015</v>
      </c>
      <c r="U2" s="1">
        <f>N2-R2</f>
        <v>570731.87666666717</v>
      </c>
      <c r="V2" s="4">
        <f>T2/M2</f>
        <v>0.39404635432599766</v>
      </c>
      <c r="W2" s="4">
        <f>U2/N2</f>
        <v>0.39039700670117666</v>
      </c>
    </row>
    <row r="3" spans="1:23" x14ac:dyDescent="0.25">
      <c r="A3" s="3" t="s">
        <v>6</v>
      </c>
      <c r="B3" s="13">
        <v>34520</v>
      </c>
      <c r="C3" s="1">
        <v>34769</v>
      </c>
      <c r="D3" s="21">
        <f>Januari!D3/31</f>
        <v>164153638.70967743</v>
      </c>
      <c r="E3" s="2">
        <f>Januari!E3/31</f>
        <v>175505836.83870968</v>
      </c>
      <c r="F3" s="1">
        <f>E3-D3</f>
        <v>11352198.129032254</v>
      </c>
      <c r="G3" s="4">
        <f t="shared" ref="G3:G8" si="0">F3/D3</f>
        <v>6.9155933540466827E-2</v>
      </c>
      <c r="H3" s="21">
        <f>Januari!H3/31</f>
        <v>14428.516129032258</v>
      </c>
      <c r="I3" s="2">
        <f>Januari!I3/31</f>
        <v>15706.935483870968</v>
      </c>
      <c r="J3" s="21">
        <f>Januari!J3/31</f>
        <v>18698</v>
      </c>
      <c r="K3" s="2">
        <f>Januari!K3/31</f>
        <v>19873.548387096773</v>
      </c>
      <c r="L3" s="4">
        <f t="shared" ref="L3:L8" si="1">K3/J3</f>
        <v>1.0628702742056249</v>
      </c>
      <c r="M3" s="5">
        <v>995788.8899999999</v>
      </c>
      <c r="N3" s="5">
        <v>967330.04</v>
      </c>
      <c r="O3" s="1">
        <f t="shared" ref="O3:O8" si="2">N3-M3</f>
        <v>-28458.84999999986</v>
      </c>
      <c r="P3" s="4">
        <f t="shared" ref="P3:P8" si="3">O3/M3</f>
        <v>-2.8579200155566972E-2</v>
      </c>
      <c r="Q3" s="21">
        <v>579638</v>
      </c>
      <c r="R3" s="2">
        <v>616080</v>
      </c>
      <c r="S3" s="1">
        <f>R3-Q3</f>
        <v>36442</v>
      </c>
      <c r="T3" s="1">
        <f t="shared" ref="T3:U8" si="4">M3-Q3</f>
        <v>416150.8899999999</v>
      </c>
      <c r="U3" s="1">
        <f t="shared" si="4"/>
        <v>351250.04000000004</v>
      </c>
      <c r="V3" s="4">
        <f t="shared" ref="V3:W8" si="5">T3/M3</f>
        <v>0.41791075817284923</v>
      </c>
      <c r="W3" s="4">
        <f t="shared" si="5"/>
        <v>0.36311292472629098</v>
      </c>
    </row>
    <row r="4" spans="1:23" x14ac:dyDescent="0.25">
      <c r="A4" s="3" t="s">
        <v>5</v>
      </c>
      <c r="B4" s="13">
        <v>33828</v>
      </c>
      <c r="C4" s="1">
        <v>33811</v>
      </c>
      <c r="D4" s="21">
        <f>Januari!D4/31</f>
        <v>144450737.09677419</v>
      </c>
      <c r="E4" s="2">
        <f>Januari!E4/31</f>
        <v>153764476.54838711</v>
      </c>
      <c r="F4" s="1">
        <f t="shared" ref="F4:F8" si="6">E4-D4</f>
        <v>9313739.4516129196</v>
      </c>
      <c r="G4" s="4">
        <f>F4/D4</f>
        <v>6.4476925758940346E-2</v>
      </c>
      <c r="H4" s="21">
        <f>Januari!H4/31</f>
        <v>18154.83870967742</v>
      </c>
      <c r="I4" s="2">
        <f>Januari!I4/31</f>
        <v>19001.258064516129</v>
      </c>
      <c r="J4" s="21">
        <f>Januari!J4/31</f>
        <v>20083.322580645163</v>
      </c>
      <c r="K4" s="2">
        <f>Januari!K4/31</f>
        <v>21083.935483870966</v>
      </c>
      <c r="L4" s="4">
        <f t="shared" si="1"/>
        <v>1.0498230757987286</v>
      </c>
      <c r="M4" s="5">
        <v>1135411.55</v>
      </c>
      <c r="N4" s="5">
        <v>1161555.9600000002</v>
      </c>
      <c r="O4" s="1">
        <f t="shared" si="2"/>
        <v>26144.410000000149</v>
      </c>
      <c r="P4" s="4">
        <f t="shared" si="3"/>
        <v>2.3026373124353145E-2</v>
      </c>
      <c r="Q4" s="21">
        <v>622583</v>
      </c>
      <c r="R4" s="2">
        <v>653602</v>
      </c>
      <c r="S4" s="1">
        <f t="shared" ref="S4:S8" si="7">R4-Q4</f>
        <v>31019</v>
      </c>
      <c r="T4" s="1">
        <f t="shared" si="4"/>
        <v>512828.55000000005</v>
      </c>
      <c r="U4" s="1">
        <f t="shared" si="4"/>
        <v>507953.9600000002</v>
      </c>
      <c r="V4" s="4">
        <f t="shared" si="5"/>
        <v>0.4516675473311858</v>
      </c>
      <c r="W4" s="4">
        <f t="shared" si="5"/>
        <v>0.43730476833849669</v>
      </c>
    </row>
    <row r="5" spans="1:23" x14ac:dyDescent="0.25">
      <c r="A5" s="3" t="s">
        <v>3</v>
      </c>
      <c r="B5" s="13">
        <v>28075</v>
      </c>
      <c r="C5" s="1">
        <v>28116</v>
      </c>
      <c r="D5" s="21">
        <f>Januari!D5/31</f>
        <v>123419129.03225806</v>
      </c>
      <c r="E5" s="2">
        <f>Januari!E5/31</f>
        <v>129981811.80645162</v>
      </c>
      <c r="F5" s="1">
        <f t="shared" si="6"/>
        <v>6562682.7741935551</v>
      </c>
      <c r="G5" s="4">
        <f t="shared" si="0"/>
        <v>5.3173951442148537E-2</v>
      </c>
      <c r="H5" s="21">
        <f>Januari!H5/31</f>
        <v>12710.741935483871</v>
      </c>
      <c r="I5" s="2">
        <f>Januari!I5/31</f>
        <v>12885.258064516129</v>
      </c>
      <c r="J5" s="21">
        <f>Januari!J5/31</f>
        <v>15017.774193548386</v>
      </c>
      <c r="K5" s="2">
        <f>Januari!K5/31</f>
        <v>15433.483870967742</v>
      </c>
      <c r="L5" s="4">
        <f t="shared" si="1"/>
        <v>1.0276811777871813</v>
      </c>
      <c r="M5" s="5">
        <v>842911</v>
      </c>
      <c r="N5" s="5">
        <v>758750.77777777775</v>
      </c>
      <c r="O5" s="1">
        <f t="shared" si="2"/>
        <v>-84160.222222222248</v>
      </c>
      <c r="P5" s="4">
        <f t="shared" si="3"/>
        <v>-9.9844731202015688E-2</v>
      </c>
      <c r="Q5" s="21">
        <v>465551</v>
      </c>
      <c r="R5" s="2">
        <v>478438</v>
      </c>
      <c r="S5" s="1">
        <f t="shared" si="7"/>
        <v>12887</v>
      </c>
      <c r="T5" s="1">
        <f t="shared" si="4"/>
        <v>377360</v>
      </c>
      <c r="U5" s="1">
        <f t="shared" si="4"/>
        <v>280312.77777777775</v>
      </c>
      <c r="V5" s="4">
        <f t="shared" si="5"/>
        <v>0.44768664781928341</v>
      </c>
      <c r="W5" s="4">
        <f t="shared" si="5"/>
        <v>0.36943985559890324</v>
      </c>
    </row>
    <row r="6" spans="1:23" x14ac:dyDescent="0.25">
      <c r="A6" s="3" t="s">
        <v>4</v>
      </c>
      <c r="B6" s="13">
        <v>21208</v>
      </c>
      <c r="C6" s="1">
        <v>21216</v>
      </c>
      <c r="D6" s="21">
        <f>Januari!D6/31</f>
        <v>98534319.354838714</v>
      </c>
      <c r="E6" s="2">
        <f>Januari!E6/31</f>
        <v>104447261.96774194</v>
      </c>
      <c r="F6" s="1">
        <f t="shared" si="6"/>
        <v>5912942.6129032224</v>
      </c>
      <c r="G6" s="4">
        <f t="shared" si="0"/>
        <v>6.0008965928000355E-2</v>
      </c>
      <c r="H6" s="21">
        <f>Januari!H6/31</f>
        <v>10915.548387096775</v>
      </c>
      <c r="I6" s="2">
        <f>Januari!I6/31</f>
        <v>11398.516129032258</v>
      </c>
      <c r="J6" s="21">
        <f>Januari!J6/31</f>
        <v>12557.483870967742</v>
      </c>
      <c r="K6" s="2">
        <f>Januari!K6/31</f>
        <v>13087.354838709678</v>
      </c>
      <c r="L6" s="4">
        <f t="shared" si="1"/>
        <v>1.0421956319583232</v>
      </c>
      <c r="M6" s="5">
        <v>490952.19999999995</v>
      </c>
      <c r="N6" s="5">
        <v>573968.82222222234</v>
      </c>
      <c r="O6" s="1">
        <f t="shared" si="2"/>
        <v>83016.622222222388</v>
      </c>
      <c r="P6" s="4">
        <f t="shared" si="3"/>
        <v>0.16909308527840877</v>
      </c>
      <c r="Q6" s="21">
        <v>389282</v>
      </c>
      <c r="R6" s="2">
        <v>405708</v>
      </c>
      <c r="S6" s="1">
        <f t="shared" si="7"/>
        <v>16426</v>
      </c>
      <c r="T6" s="1">
        <f t="shared" si="4"/>
        <v>101670.19999999995</v>
      </c>
      <c r="U6" s="1">
        <f t="shared" si="4"/>
        <v>168260.82222222234</v>
      </c>
      <c r="V6" s="4">
        <f t="shared" si="5"/>
        <v>0.20708777758812358</v>
      </c>
      <c r="W6" s="4">
        <f t="shared" si="5"/>
        <v>0.29315324405735255</v>
      </c>
    </row>
    <row r="7" spans="1:23" x14ac:dyDescent="0.25">
      <c r="A7" s="3" t="s">
        <v>8</v>
      </c>
      <c r="B7" s="13">
        <v>15809</v>
      </c>
      <c r="C7" s="1">
        <v>15780</v>
      </c>
      <c r="D7" s="21">
        <f>Januari!D7/31</f>
        <v>58616616.129032262</v>
      </c>
      <c r="E7" s="2">
        <f>Januari!E7/31</f>
        <v>72368102.935483873</v>
      </c>
      <c r="F7" s="1">
        <f t="shared" si="6"/>
        <v>13751486.806451611</v>
      </c>
      <c r="G7" s="4">
        <f t="shared" si="0"/>
        <v>0.23460048898388436</v>
      </c>
      <c r="H7" s="21">
        <f>Januari!H7/31</f>
        <v>5691</v>
      </c>
      <c r="I7" s="2">
        <f>Januari!I7/31</f>
        <v>6414.3870967741932</v>
      </c>
      <c r="J7" s="21">
        <f>Januari!J7/31</f>
        <v>7089.2258064516127</v>
      </c>
      <c r="K7" s="2">
        <f>Januari!K7/31</f>
        <v>8351.4838709677424</v>
      </c>
      <c r="L7" s="4">
        <f t="shared" si="1"/>
        <v>1.178053020030396</v>
      </c>
      <c r="M7" s="5">
        <v>384051.68000000011</v>
      </c>
      <c r="N7" s="5">
        <v>362813.01333333331</v>
      </c>
      <c r="O7" s="1">
        <f t="shared" si="2"/>
        <v>-21238.666666666802</v>
      </c>
      <c r="P7" s="4">
        <f t="shared" si="3"/>
        <v>-5.5301585106115915E-2</v>
      </c>
      <c r="Q7" s="21">
        <v>219766</v>
      </c>
      <c r="R7" s="2">
        <v>258896</v>
      </c>
      <c r="S7" s="1">
        <f t="shared" si="7"/>
        <v>39130</v>
      </c>
      <c r="T7" s="1">
        <f t="shared" si="4"/>
        <v>164285.68000000011</v>
      </c>
      <c r="U7" s="1">
        <f t="shared" si="4"/>
        <v>103917.01333333331</v>
      </c>
      <c r="V7" s="4">
        <f t="shared" si="5"/>
        <v>0.42776972099171667</v>
      </c>
      <c r="W7" s="4">
        <f t="shared" si="5"/>
        <v>0.28642030333641832</v>
      </c>
    </row>
    <row r="8" spans="1:23" x14ac:dyDescent="0.25">
      <c r="A8" s="3" t="s">
        <v>7</v>
      </c>
      <c r="B8" s="13">
        <v>6502</v>
      </c>
      <c r="C8" s="1">
        <v>6486</v>
      </c>
      <c r="D8" s="21">
        <f>Januari!D8/31</f>
        <v>19630458.064516131</v>
      </c>
      <c r="E8" s="2">
        <f>Januari!E8/31</f>
        <v>24358059.677419353</v>
      </c>
      <c r="F8" s="1">
        <f t="shared" si="6"/>
        <v>4727601.6129032224</v>
      </c>
      <c r="G8" s="4">
        <f t="shared" si="0"/>
        <v>0.2408299183526848</v>
      </c>
      <c r="H8" s="21">
        <f>Januari!H8/31</f>
        <v>2478.4516129032259</v>
      </c>
      <c r="I8" s="2">
        <f>Januari!I8/31</f>
        <v>3000.1290322580644</v>
      </c>
      <c r="J8" s="21">
        <f>Januari!J8/31</f>
        <v>2693.1290322580644</v>
      </c>
      <c r="K8" s="2">
        <f>Januari!K8/31</f>
        <v>3280.1290322580644</v>
      </c>
      <c r="L8" s="4">
        <f t="shared" si="1"/>
        <v>1.2179620779283002</v>
      </c>
      <c r="M8" s="5">
        <v>138644.95000000001</v>
      </c>
      <c r="N8" s="5">
        <v>136229.65</v>
      </c>
      <c r="O8" s="6">
        <f t="shared" si="2"/>
        <v>-2415.3000000000175</v>
      </c>
      <c r="P8" s="7">
        <f t="shared" si="3"/>
        <v>-1.7420757120977123E-2</v>
      </c>
      <c r="Q8" s="21">
        <v>83487</v>
      </c>
      <c r="R8" s="2">
        <v>101684</v>
      </c>
      <c r="S8" s="6">
        <f t="shared" si="7"/>
        <v>18197</v>
      </c>
      <c r="T8" s="1">
        <f t="shared" si="4"/>
        <v>55157.950000000012</v>
      </c>
      <c r="U8" s="1">
        <f t="shared" si="4"/>
        <v>34545.649999999994</v>
      </c>
      <c r="V8" s="4">
        <f t="shared" si="5"/>
        <v>0.39783598320746633</v>
      </c>
      <c r="W8" s="4">
        <f t="shared" si="5"/>
        <v>0.25358392978327404</v>
      </c>
    </row>
    <row r="9" spans="1:23" ht="16.5" x14ac:dyDescent="0.3">
      <c r="A9" s="16" t="s">
        <v>9</v>
      </c>
      <c r="B9" s="17">
        <f>SUM(B2:B8)</f>
        <v>186348</v>
      </c>
      <c r="C9" s="17">
        <f>SUM(C2:C8)</f>
        <v>186628</v>
      </c>
      <c r="D9" s="17">
        <f>SUM(D2:D8)</f>
        <v>856187891.93548393</v>
      </c>
      <c r="E9" s="17">
        <f>SUM(E2:E8)</f>
        <v>910234385.29032266</v>
      </c>
      <c r="F9" s="10"/>
      <c r="G9" s="11"/>
      <c r="H9" s="17">
        <f>SUM(H2:H8)</f>
        <v>86060.967741935485</v>
      </c>
      <c r="I9" s="17">
        <f>SUM(I2:I8)</f>
        <v>90705.93548387097</v>
      </c>
      <c r="J9" s="17">
        <f>SUM(J2:J8)</f>
        <v>104682.09677419353</v>
      </c>
      <c r="K9" s="17">
        <f>SUM(K2:K8)</f>
        <v>109858.16129032258</v>
      </c>
      <c r="L9" s="9"/>
      <c r="M9" s="18">
        <f>SUM(M2:M8)</f>
        <v>5448000.6799999997</v>
      </c>
      <c r="N9" s="18">
        <f>SUM(N2:N8)</f>
        <v>5422575.1400000015</v>
      </c>
      <c r="O9" s="8"/>
      <c r="P9" s="8"/>
      <c r="Q9" s="17">
        <f>SUM(Q2:Q8)</f>
        <v>3245145</v>
      </c>
      <c r="R9" s="19">
        <f>SUM(R2:R8)</f>
        <v>3405603</v>
      </c>
      <c r="S9" s="10"/>
      <c r="T9" s="17">
        <f>SUM(T2:T8)</f>
        <v>2202855.6800000002</v>
      </c>
      <c r="U9" s="17">
        <f>SUM(U2:U8)</f>
        <v>2016972.1400000006</v>
      </c>
      <c r="V9" s="12"/>
      <c r="W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138C-09AA-4088-883B-D11FACD3D5BB}">
  <dimension ref="A1:W9"/>
  <sheetViews>
    <sheetView zoomScale="54" zoomScaleNormal="115" workbookViewId="0">
      <selection activeCell="E22" sqref="E22"/>
    </sheetView>
  </sheetViews>
  <sheetFormatPr defaultRowHeight="15.75" x14ac:dyDescent="0.25"/>
  <cols>
    <col min="1" max="1" width="19" bestFit="1" customWidth="1"/>
    <col min="2" max="2" width="31.75" bestFit="1" customWidth="1"/>
    <col min="3" max="3" width="40.75" bestFit="1" customWidth="1"/>
    <col min="4" max="4" width="36.875" bestFit="1" customWidth="1"/>
    <col min="5" max="5" width="38.25" bestFit="1" customWidth="1"/>
    <col min="6" max="6" width="24" bestFit="1" customWidth="1"/>
    <col min="7" max="7" width="27.875" bestFit="1" customWidth="1"/>
    <col min="8" max="8" width="36.875" bestFit="1" customWidth="1"/>
    <col min="9" max="9" width="38.25" bestFit="1" customWidth="1"/>
    <col min="10" max="10" width="36.875" bestFit="1" customWidth="1"/>
    <col min="11" max="11" width="38.25" bestFit="1" customWidth="1"/>
    <col min="12" max="12" width="25.25" bestFit="1" customWidth="1"/>
    <col min="13" max="13" width="36.875" bestFit="1" customWidth="1"/>
    <col min="14" max="14" width="38.25" bestFit="1" customWidth="1"/>
    <col min="15" max="15" width="30.5" bestFit="1" customWidth="1"/>
    <col min="16" max="16" width="44.625" bestFit="1" customWidth="1"/>
    <col min="17" max="17" width="33" bestFit="1" customWidth="1"/>
    <col min="18" max="18" width="34.375" bestFit="1" customWidth="1"/>
    <col min="19" max="19" width="25.25" bestFit="1" customWidth="1"/>
    <col min="20" max="20" width="22.75" bestFit="1" customWidth="1"/>
    <col min="21" max="21" width="24" bestFit="1" customWidth="1"/>
    <col min="22" max="22" width="35.625" bestFit="1" customWidth="1"/>
    <col min="23" max="23" width="38.25" bestFit="1" customWidth="1"/>
  </cols>
  <sheetData>
    <row r="1" spans="1:23" x14ac:dyDescent="0.25">
      <c r="A1" s="15" t="s">
        <v>0</v>
      </c>
      <c r="B1" s="15" t="s">
        <v>1</v>
      </c>
      <c r="C1" s="15" t="s">
        <v>14</v>
      </c>
      <c r="D1" s="15" t="s">
        <v>10</v>
      </c>
      <c r="E1" s="15" t="s">
        <v>13</v>
      </c>
      <c r="F1" s="15" t="s">
        <v>11</v>
      </c>
      <c r="G1" s="15" t="s">
        <v>12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</row>
    <row r="2" spans="1:23" x14ac:dyDescent="0.25">
      <c r="A2" s="3" t="s">
        <v>2</v>
      </c>
      <c r="B2" s="1">
        <v>46450</v>
      </c>
      <c r="C2" s="14">
        <v>46603</v>
      </c>
      <c r="D2" s="2">
        <v>7744073901</v>
      </c>
      <c r="E2" s="2">
        <v>7748180087</v>
      </c>
      <c r="F2" s="1">
        <f>E2-D2</f>
        <v>4106186</v>
      </c>
      <c r="G2" s="4">
        <f>F2/D2</f>
        <v>5.3023590070205352E-4</v>
      </c>
      <c r="H2" s="2">
        <v>691283</v>
      </c>
      <c r="I2" s="2">
        <v>670064</v>
      </c>
      <c r="J2" s="2">
        <v>891195</v>
      </c>
      <c r="K2" s="2">
        <v>877850</v>
      </c>
      <c r="L2" s="4">
        <f>K2/J2</f>
        <v>0.98502572388758913</v>
      </c>
      <c r="M2" s="5">
        <v>1460240.4100000001</v>
      </c>
      <c r="N2" s="5">
        <v>1461926.8766666672</v>
      </c>
      <c r="O2" s="1">
        <f>N2-M2</f>
        <v>1686.4666666670237</v>
      </c>
      <c r="P2" s="4">
        <f>O2/M2</f>
        <v>1.1549239804060918E-3</v>
      </c>
      <c r="Q2" s="2">
        <v>891195</v>
      </c>
      <c r="R2" s="2">
        <v>877850</v>
      </c>
      <c r="S2" s="1">
        <f>R2-Q2</f>
        <v>-13345</v>
      </c>
      <c r="T2" s="1">
        <f>M2-Q2</f>
        <v>569045.41000000015</v>
      </c>
      <c r="U2" s="1">
        <f>N2-R2</f>
        <v>584076.87666666717</v>
      </c>
      <c r="V2" s="4">
        <f>T2/M2</f>
        <v>0.38969296158568856</v>
      </c>
      <c r="W2" s="4">
        <f>U2/N2</f>
        <v>0.39952537024178542</v>
      </c>
    </row>
    <row r="3" spans="1:23" x14ac:dyDescent="0.25">
      <c r="A3" s="3" t="s">
        <v>6</v>
      </c>
      <c r="B3" s="1">
        <v>34769</v>
      </c>
      <c r="C3" s="14">
        <v>34789</v>
      </c>
      <c r="D3" s="2">
        <v>5440680942</v>
      </c>
      <c r="E3" s="2">
        <v>5315742535</v>
      </c>
      <c r="F3" s="1">
        <f t="shared" ref="F3:F8" si="0">E3-D3</f>
        <v>-124938407</v>
      </c>
      <c r="G3" s="4">
        <f t="shared" ref="G3:G8" si="1">F3/D3</f>
        <v>-2.2963744489319843E-2</v>
      </c>
      <c r="H3" s="2">
        <v>486915</v>
      </c>
      <c r="I3" s="2">
        <v>466574</v>
      </c>
      <c r="J3" s="2">
        <v>616080</v>
      </c>
      <c r="K3" s="2">
        <v>596861</v>
      </c>
      <c r="L3" s="4">
        <f t="shared" ref="L3:L8" si="2">K3/J3</f>
        <v>0.96880437605505776</v>
      </c>
      <c r="M3" s="5">
        <v>995788.8899999999</v>
      </c>
      <c r="N3" s="5">
        <v>967330.04</v>
      </c>
      <c r="O3" s="1">
        <f t="shared" ref="O3:O8" si="3">N3-M3</f>
        <v>-28458.84999999986</v>
      </c>
      <c r="P3" s="4">
        <f t="shared" ref="P3:P8" si="4">O3/M3</f>
        <v>-2.8579200155566972E-2</v>
      </c>
      <c r="Q3" s="2">
        <v>616080</v>
      </c>
      <c r="R3" s="2">
        <v>596861</v>
      </c>
      <c r="S3" s="1">
        <f>R3-Q3</f>
        <v>-19219</v>
      </c>
      <c r="T3" s="1">
        <f t="shared" ref="T3:T8" si="5">M3-Q3</f>
        <v>379708.8899999999</v>
      </c>
      <c r="U3" s="1">
        <f t="shared" ref="U3:U8" si="6">N3-R3</f>
        <v>370469.04000000004</v>
      </c>
      <c r="V3" s="4">
        <f t="shared" ref="V3:V8" si="7">T3/M3</f>
        <v>0.38131464792703196</v>
      </c>
      <c r="W3" s="4">
        <f t="shared" ref="W3:W8" si="8">U3/N3</f>
        <v>0.38298101442192367</v>
      </c>
    </row>
    <row r="4" spans="1:23" x14ac:dyDescent="0.25">
      <c r="A4" s="3" t="s">
        <v>5</v>
      </c>
      <c r="B4" s="1">
        <v>33811</v>
      </c>
      <c r="C4" s="14">
        <v>33801</v>
      </c>
      <c r="D4" s="2">
        <v>4766698773</v>
      </c>
      <c r="E4" s="2">
        <v>4678544910</v>
      </c>
      <c r="F4" s="1">
        <f t="shared" si="0"/>
        <v>-88153863</v>
      </c>
      <c r="G4" s="4">
        <f>F4/D4</f>
        <v>-1.8493692846573335E-2</v>
      </c>
      <c r="H4" s="2">
        <v>589039</v>
      </c>
      <c r="I4" s="2">
        <v>568340</v>
      </c>
      <c r="J4" s="2">
        <v>653602</v>
      </c>
      <c r="K4" s="2">
        <v>639148</v>
      </c>
      <c r="L4" s="4">
        <f t="shared" si="2"/>
        <v>0.97788562458499206</v>
      </c>
      <c r="M4" s="5">
        <v>1135411.55</v>
      </c>
      <c r="N4" s="5">
        <v>1161555.9600000002</v>
      </c>
      <c r="O4" s="1">
        <f t="shared" si="3"/>
        <v>26144.410000000149</v>
      </c>
      <c r="P4" s="4">
        <f t="shared" si="4"/>
        <v>2.3026373124353145E-2</v>
      </c>
      <c r="Q4" s="2">
        <v>653602</v>
      </c>
      <c r="R4" s="2">
        <v>639148</v>
      </c>
      <c r="S4" s="1">
        <f t="shared" ref="S4:S8" si="9">R4-Q4</f>
        <v>-14454</v>
      </c>
      <c r="T4" s="1">
        <f t="shared" si="5"/>
        <v>481809.55000000005</v>
      </c>
      <c r="U4" s="1">
        <f t="shared" si="6"/>
        <v>522407.9600000002</v>
      </c>
      <c r="V4" s="4">
        <f t="shared" si="7"/>
        <v>0.42434793797896458</v>
      </c>
      <c r="W4" s="4">
        <f t="shared" si="8"/>
        <v>0.44974842193569403</v>
      </c>
    </row>
    <row r="5" spans="1:23" x14ac:dyDescent="0.25">
      <c r="A5" s="3" t="s">
        <v>3</v>
      </c>
      <c r="B5" s="1">
        <v>28116</v>
      </c>
      <c r="C5" s="14">
        <v>28145</v>
      </c>
      <c r="D5" s="2">
        <v>4029436166</v>
      </c>
      <c r="E5" s="2">
        <v>4011795930</v>
      </c>
      <c r="F5" s="1">
        <f t="shared" si="0"/>
        <v>-17640236</v>
      </c>
      <c r="G5" s="4">
        <f t="shared" si="1"/>
        <v>-4.37784227700308E-3</v>
      </c>
      <c r="H5" s="2">
        <v>399443</v>
      </c>
      <c r="I5" s="2">
        <v>403464</v>
      </c>
      <c r="J5" s="2">
        <v>478438</v>
      </c>
      <c r="K5" s="2">
        <v>480344</v>
      </c>
      <c r="L5" s="4">
        <f t="shared" si="2"/>
        <v>1.0039837972736279</v>
      </c>
      <c r="M5" s="5">
        <v>842911</v>
      </c>
      <c r="N5" s="5">
        <v>758750.77777777775</v>
      </c>
      <c r="O5" s="1">
        <f t="shared" si="3"/>
        <v>-84160.222222222248</v>
      </c>
      <c r="P5" s="4">
        <f t="shared" si="4"/>
        <v>-9.9844731202015688E-2</v>
      </c>
      <c r="Q5" s="2">
        <v>478438</v>
      </c>
      <c r="R5" s="2">
        <v>480344</v>
      </c>
      <c r="S5" s="1">
        <f t="shared" si="9"/>
        <v>1906</v>
      </c>
      <c r="T5" s="1">
        <f t="shared" si="5"/>
        <v>364473</v>
      </c>
      <c r="U5" s="1">
        <f t="shared" si="6"/>
        <v>278406.77777777775</v>
      </c>
      <c r="V5" s="4">
        <f t="shared" si="7"/>
        <v>0.43239796372333494</v>
      </c>
      <c r="W5" s="4">
        <f t="shared" si="8"/>
        <v>0.36692783181477973</v>
      </c>
    </row>
    <row r="6" spans="1:23" x14ac:dyDescent="0.25">
      <c r="A6" s="3" t="s">
        <v>4</v>
      </c>
      <c r="B6" s="1">
        <v>21216</v>
      </c>
      <c r="C6" s="14">
        <v>21231</v>
      </c>
      <c r="D6" s="2">
        <v>3237865121</v>
      </c>
      <c r="E6" s="2">
        <v>3218841457</v>
      </c>
      <c r="F6" s="1">
        <f t="shared" si="0"/>
        <v>-19023664</v>
      </c>
      <c r="G6" s="4">
        <f t="shared" si="1"/>
        <v>-5.8753725955467311E-3</v>
      </c>
      <c r="H6" s="2">
        <v>353354</v>
      </c>
      <c r="I6" s="2">
        <v>348012</v>
      </c>
      <c r="J6" s="2">
        <v>405708</v>
      </c>
      <c r="K6" s="2">
        <v>400994</v>
      </c>
      <c r="L6" s="4">
        <f t="shared" si="2"/>
        <v>0.9883808058998097</v>
      </c>
      <c r="M6" s="5">
        <v>490952.19999999995</v>
      </c>
      <c r="N6" s="5">
        <v>573968.82222222234</v>
      </c>
      <c r="O6" s="1">
        <f t="shared" si="3"/>
        <v>83016.622222222388</v>
      </c>
      <c r="P6" s="4">
        <f t="shared" si="4"/>
        <v>0.16909308527840877</v>
      </c>
      <c r="Q6" s="2">
        <v>405708</v>
      </c>
      <c r="R6" s="2">
        <v>400994</v>
      </c>
      <c r="S6" s="1">
        <f t="shared" si="9"/>
        <v>-4714</v>
      </c>
      <c r="T6" s="1">
        <f t="shared" si="5"/>
        <v>85244.199999999953</v>
      </c>
      <c r="U6" s="1">
        <f t="shared" si="6"/>
        <v>172974.82222222234</v>
      </c>
      <c r="V6" s="4">
        <f t="shared" si="7"/>
        <v>0.17363034527597587</v>
      </c>
      <c r="W6" s="4">
        <f t="shared" si="8"/>
        <v>0.30136623371373999</v>
      </c>
    </row>
    <row r="7" spans="1:23" x14ac:dyDescent="0.25">
      <c r="A7" s="3" t="s">
        <v>8</v>
      </c>
      <c r="B7" s="1">
        <v>15780</v>
      </c>
      <c r="C7" s="14">
        <v>15794</v>
      </c>
      <c r="D7" s="2">
        <v>2243411191</v>
      </c>
      <c r="E7" s="2">
        <v>2124402253</v>
      </c>
      <c r="F7" s="1">
        <f t="shared" si="0"/>
        <v>-119008938</v>
      </c>
      <c r="G7" s="4">
        <f t="shared" si="1"/>
        <v>-5.3048205552969449E-2</v>
      </c>
      <c r="H7" s="2">
        <v>198846</v>
      </c>
      <c r="I7" s="2">
        <v>181449</v>
      </c>
      <c r="J7" s="2">
        <v>258896</v>
      </c>
      <c r="K7" s="2">
        <v>241796</v>
      </c>
      <c r="L7" s="4">
        <f t="shared" si="2"/>
        <v>0.93395031209443169</v>
      </c>
      <c r="M7" s="5">
        <v>384051.68000000011</v>
      </c>
      <c r="N7" s="5">
        <v>362813.01333333331</v>
      </c>
      <c r="O7" s="1">
        <f t="shared" si="3"/>
        <v>-21238.666666666802</v>
      </c>
      <c r="P7" s="4">
        <f t="shared" si="4"/>
        <v>-5.5301585106115915E-2</v>
      </c>
      <c r="Q7" s="2">
        <v>258896</v>
      </c>
      <c r="R7" s="2">
        <v>241796</v>
      </c>
      <c r="S7" s="1">
        <f t="shared" si="9"/>
        <v>-17100</v>
      </c>
      <c r="T7" s="1">
        <f t="shared" si="5"/>
        <v>125155.68000000011</v>
      </c>
      <c r="U7" s="1">
        <f t="shared" si="6"/>
        <v>121017.01333333331</v>
      </c>
      <c r="V7" s="4">
        <f t="shared" si="7"/>
        <v>0.32588239166145577</v>
      </c>
      <c r="W7" s="4">
        <f t="shared" si="8"/>
        <v>0.33355201959679792</v>
      </c>
    </row>
    <row r="8" spans="1:23" x14ac:dyDescent="0.25">
      <c r="A8" s="3" t="s">
        <v>7</v>
      </c>
      <c r="B8" s="1">
        <v>6486</v>
      </c>
      <c r="C8" s="14">
        <v>6497</v>
      </c>
      <c r="D8" s="2">
        <v>755099850</v>
      </c>
      <c r="E8" s="2">
        <v>726581461</v>
      </c>
      <c r="F8" s="1">
        <f t="shared" si="0"/>
        <v>-28518389</v>
      </c>
      <c r="G8" s="4">
        <f t="shared" si="1"/>
        <v>-3.7767705820627565E-2</v>
      </c>
      <c r="H8" s="2">
        <v>93004</v>
      </c>
      <c r="I8" s="2">
        <v>88263</v>
      </c>
      <c r="J8" s="2">
        <v>101684</v>
      </c>
      <c r="K8" s="2">
        <v>97606</v>
      </c>
      <c r="L8" s="4">
        <f t="shared" si="2"/>
        <v>0.95989536210219895</v>
      </c>
      <c r="M8" s="5">
        <v>138644.95000000001</v>
      </c>
      <c r="N8" s="5">
        <v>136229.65</v>
      </c>
      <c r="O8" s="6">
        <f t="shared" si="3"/>
        <v>-2415.3000000000175</v>
      </c>
      <c r="P8" s="7">
        <f t="shared" si="4"/>
        <v>-1.7420757120977123E-2</v>
      </c>
      <c r="Q8" s="2">
        <v>101684</v>
      </c>
      <c r="R8" s="2">
        <v>97606</v>
      </c>
      <c r="S8" s="6">
        <f t="shared" si="9"/>
        <v>-4078</v>
      </c>
      <c r="T8" s="1">
        <f t="shared" si="5"/>
        <v>36960.950000000012</v>
      </c>
      <c r="U8" s="1">
        <f t="shared" si="6"/>
        <v>38623.649999999994</v>
      </c>
      <c r="V8" s="4">
        <f t="shared" si="7"/>
        <v>0.26658706285371381</v>
      </c>
      <c r="W8" s="4">
        <f t="shared" si="8"/>
        <v>0.28351867600041547</v>
      </c>
    </row>
    <row r="9" spans="1:23" ht="16.5" x14ac:dyDescent="0.3">
      <c r="A9" s="16" t="s">
        <v>9</v>
      </c>
      <c r="B9" s="17">
        <f>SUM(B2:B8)</f>
        <v>186628</v>
      </c>
      <c r="C9" s="17">
        <f>SUM(C2:C8)</f>
        <v>186860</v>
      </c>
      <c r="D9" s="17">
        <f>SUM(D2:D8)</f>
        <v>28217265944</v>
      </c>
      <c r="E9" s="17">
        <f>SUM(E2:E8)</f>
        <v>27824088633</v>
      </c>
      <c r="F9" s="10"/>
      <c r="G9" s="11"/>
      <c r="H9" s="17">
        <f>SUM(H2:H8)</f>
        <v>2811884</v>
      </c>
      <c r="I9" s="17">
        <f>SUM(I2:I8)</f>
        <v>2726166</v>
      </c>
      <c r="J9" s="17">
        <f>SUM(J2:J8)</f>
        <v>3405603</v>
      </c>
      <c r="K9" s="17">
        <f>SUM(K2:K8)</f>
        <v>3334599</v>
      </c>
      <c r="L9" s="9"/>
      <c r="M9" s="18">
        <f>SUM(M2:M8)+3665</f>
        <v>5451665.6799999997</v>
      </c>
      <c r="N9" s="18">
        <f>SUM(N2:N8)+4953</f>
        <v>5427528.1400000015</v>
      </c>
      <c r="O9" s="8"/>
      <c r="P9" s="8"/>
      <c r="Q9" s="17">
        <f>SUM(Q2:Q8)</f>
        <v>3405603</v>
      </c>
      <c r="R9" s="19">
        <f>SUM(R2:R8)</f>
        <v>3334599</v>
      </c>
      <c r="S9" s="10"/>
      <c r="T9" s="17">
        <f>SUM(T2:T8)</f>
        <v>2042397.6800000002</v>
      </c>
      <c r="U9" s="17">
        <f>SUM(U2:U8)</f>
        <v>2087976.1400000006</v>
      </c>
      <c r="V9" s="12"/>
      <c r="W9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1750-0978-46AC-901D-B8593BD425C3}">
  <dimension ref="A1:W9"/>
  <sheetViews>
    <sheetView zoomScale="61" workbookViewId="0">
      <selection activeCell="C21" sqref="C21"/>
    </sheetView>
  </sheetViews>
  <sheetFormatPr defaultRowHeight="15.75" x14ac:dyDescent="0.25"/>
  <cols>
    <col min="1" max="1" width="18" customWidth="1"/>
    <col min="2" max="2" width="31.75" bestFit="1" customWidth="1"/>
    <col min="3" max="3" width="40.75" bestFit="1" customWidth="1"/>
    <col min="4" max="4" width="36.875" bestFit="1" customWidth="1"/>
    <col min="5" max="5" width="38.25" bestFit="1" customWidth="1"/>
    <col min="6" max="6" width="24" bestFit="1" customWidth="1"/>
    <col min="7" max="7" width="27.875" bestFit="1" customWidth="1"/>
    <col min="8" max="8" width="36.875" bestFit="1" customWidth="1"/>
    <col min="9" max="9" width="38.25" bestFit="1" customWidth="1"/>
    <col min="10" max="10" width="36.875" bestFit="1" customWidth="1"/>
    <col min="11" max="11" width="38.25" bestFit="1" customWidth="1"/>
    <col min="12" max="12" width="25.25" bestFit="1" customWidth="1"/>
    <col min="13" max="13" width="36.875" bestFit="1" customWidth="1"/>
    <col min="14" max="14" width="38.25" bestFit="1" customWidth="1"/>
    <col min="15" max="15" width="30.5" bestFit="1" customWidth="1"/>
    <col min="16" max="16" width="44.625" bestFit="1" customWidth="1"/>
    <col min="17" max="17" width="33" bestFit="1" customWidth="1"/>
    <col min="18" max="18" width="34.375" bestFit="1" customWidth="1"/>
    <col min="19" max="19" width="25.25" bestFit="1" customWidth="1"/>
    <col min="20" max="20" width="22.75" bestFit="1" customWidth="1"/>
    <col min="21" max="21" width="24" bestFit="1" customWidth="1"/>
    <col min="22" max="22" width="35.625" bestFit="1" customWidth="1"/>
    <col min="23" max="23" width="38.25" bestFit="1" customWidth="1"/>
  </cols>
  <sheetData>
    <row r="1" spans="1:23" x14ac:dyDescent="0.25">
      <c r="A1" s="15" t="s">
        <v>0</v>
      </c>
      <c r="B1" s="15" t="s">
        <v>1</v>
      </c>
      <c r="C1" s="15" t="s">
        <v>14</v>
      </c>
      <c r="D1" s="15" t="s">
        <v>10</v>
      </c>
      <c r="E1" s="15" t="s">
        <v>13</v>
      </c>
      <c r="F1" s="15" t="s">
        <v>11</v>
      </c>
      <c r="G1" s="15" t="s">
        <v>12</v>
      </c>
      <c r="H1" s="15" t="s">
        <v>15</v>
      </c>
      <c r="I1" s="15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</row>
    <row r="2" spans="1:23" x14ac:dyDescent="0.25">
      <c r="A2" s="3" t="s">
        <v>2</v>
      </c>
      <c r="B2" s="1">
        <v>46450</v>
      </c>
      <c r="C2" s="14">
        <v>46603</v>
      </c>
      <c r="D2" s="2">
        <f>Februari!D2/31</f>
        <v>249808835.51612905</v>
      </c>
      <c r="E2" s="2">
        <f>Februari!E2/28</f>
        <v>276720717.39285713</v>
      </c>
      <c r="F2" s="1">
        <f>E2-D2</f>
        <v>26911881.876728088</v>
      </c>
      <c r="G2" s="4">
        <f>F2/D2</f>
        <v>0.10772990403292003</v>
      </c>
      <c r="H2" s="2">
        <f>Februari!H2/31</f>
        <v>22299.451612903227</v>
      </c>
      <c r="I2" s="2">
        <f>Februari!I2/28</f>
        <v>23930.857142857141</v>
      </c>
      <c r="J2" s="2">
        <f>Februari!J2/31</f>
        <v>28748.225806451614</v>
      </c>
      <c r="K2" s="2">
        <f>Februari!K2/28</f>
        <v>31351.785714285714</v>
      </c>
      <c r="L2" s="4">
        <f>K2/J2</f>
        <v>1.0905641943041164</v>
      </c>
      <c r="M2" s="5">
        <f>Februari!M2/31</f>
        <v>47104.529354838713</v>
      </c>
      <c r="N2" s="5">
        <f>Februari!N2/28</f>
        <v>52211.674166666686</v>
      </c>
      <c r="O2" s="1">
        <f>N2-M2</f>
        <v>5107.1448118279732</v>
      </c>
      <c r="P2" s="4">
        <f>O2/M2</f>
        <v>0.10842152297830682</v>
      </c>
      <c r="Q2" s="2">
        <f>Februari!Q2/31</f>
        <v>28748.225806451614</v>
      </c>
      <c r="R2" s="2">
        <f>Februari!R2/28</f>
        <v>31351.785714285714</v>
      </c>
      <c r="S2" s="1">
        <f>R2-Q2</f>
        <v>2603.5599078341002</v>
      </c>
      <c r="T2" s="1">
        <f>M2-Q2</f>
        <v>18356.303548387099</v>
      </c>
      <c r="U2" s="1">
        <f>N2-R2</f>
        <v>20859.888452380972</v>
      </c>
      <c r="V2" s="4">
        <f>T2/M2</f>
        <v>0.3896929615856885</v>
      </c>
      <c r="W2" s="4">
        <f>U2/N2</f>
        <v>0.39952537024178542</v>
      </c>
    </row>
    <row r="3" spans="1:23" x14ac:dyDescent="0.25">
      <c r="A3" s="3" t="s">
        <v>6</v>
      </c>
      <c r="B3" s="1">
        <v>34769</v>
      </c>
      <c r="C3" s="14">
        <v>34789</v>
      </c>
      <c r="D3" s="2">
        <f>Februari!D3/31</f>
        <v>175505836.83870968</v>
      </c>
      <c r="E3" s="2">
        <f>Februari!E3/28</f>
        <v>189847947.67857143</v>
      </c>
      <c r="F3" s="1">
        <f t="shared" ref="F3:F8" si="0">E3-D3</f>
        <v>14342110.839861751</v>
      </c>
      <c r="G3" s="4">
        <f t="shared" ref="G3:G8" si="1">F3/D3</f>
        <v>8.1718711458253018E-2</v>
      </c>
      <c r="H3" s="2">
        <f>Februari!H3/31</f>
        <v>15706.935483870968</v>
      </c>
      <c r="I3" s="2">
        <f>Februari!I3/28</f>
        <v>16663.357142857141</v>
      </c>
      <c r="J3" s="2">
        <f>Februari!J3/31</f>
        <v>19873.548387096773</v>
      </c>
      <c r="K3" s="2">
        <f>Februari!K3/28</f>
        <v>21316.464285714286</v>
      </c>
      <c r="L3" s="4">
        <f t="shared" ref="L3:L8" si="2">K3/J3</f>
        <v>1.0726048449180998</v>
      </c>
      <c r="M3" s="5">
        <f>Februari!M3/31</f>
        <v>32122.222258064514</v>
      </c>
      <c r="N3" s="5">
        <f>Februari!N3/28</f>
        <v>34547.501428571428</v>
      </c>
      <c r="O3" s="1">
        <f t="shared" ref="O3:O7" si="3">N3-M3</f>
        <v>2425.2791705069139</v>
      </c>
      <c r="P3" s="4">
        <f t="shared" ref="P3:P8" si="4">O3/M3</f>
        <v>7.550159982776504E-2</v>
      </c>
      <c r="Q3" s="2">
        <f>Februari!Q3/31</f>
        <v>19873.548387096773</v>
      </c>
      <c r="R3" s="2">
        <f>Februari!R3/28</f>
        <v>21316.464285714286</v>
      </c>
      <c r="S3" s="1">
        <f t="shared" ref="S3:S8" si="5">R3-Q3</f>
        <v>1442.9158986175134</v>
      </c>
      <c r="T3" s="1">
        <f t="shared" ref="T3:U8" si="6">M3-Q3</f>
        <v>12248.673870967741</v>
      </c>
      <c r="U3" s="1">
        <f t="shared" si="6"/>
        <v>13231.037142857142</v>
      </c>
      <c r="V3" s="4">
        <f t="shared" ref="V3:W8" si="7">T3/M3</f>
        <v>0.38131464792703201</v>
      </c>
      <c r="W3" s="4">
        <f t="shared" si="7"/>
        <v>0.38298101442192362</v>
      </c>
    </row>
    <row r="4" spans="1:23" x14ac:dyDescent="0.25">
      <c r="A4" s="3" t="s">
        <v>5</v>
      </c>
      <c r="B4" s="1">
        <v>33811</v>
      </c>
      <c r="C4" s="14">
        <v>33801</v>
      </c>
      <c r="D4" s="2">
        <f>Februari!D4/31</f>
        <v>153764476.54838711</v>
      </c>
      <c r="E4" s="2">
        <f>Februari!E4/28</f>
        <v>167090889.64285713</v>
      </c>
      <c r="F4" s="1">
        <f t="shared" si="0"/>
        <v>13326413.094470024</v>
      </c>
      <c r="G4" s="4">
        <f t="shared" si="1"/>
        <v>8.6667697205579375E-2</v>
      </c>
      <c r="H4" s="2">
        <f>Februari!H4/31</f>
        <v>19001.258064516129</v>
      </c>
      <c r="I4" s="2">
        <f>Februari!I4/28</f>
        <v>20297.857142857141</v>
      </c>
      <c r="J4" s="2">
        <f>Februari!J4/31</f>
        <v>21083.935483870966</v>
      </c>
      <c r="K4" s="2">
        <f>Februari!K4/28</f>
        <v>22826.714285714286</v>
      </c>
      <c r="L4" s="4">
        <f t="shared" si="2"/>
        <v>1.0826590843619557</v>
      </c>
      <c r="M4" s="5">
        <f>Februari!M4/31</f>
        <v>36626.179032258064</v>
      </c>
      <c r="N4" s="5">
        <f>Februari!N4/28</f>
        <v>41484.141428571435</v>
      </c>
      <c r="O4" s="1">
        <f t="shared" si="3"/>
        <v>4857.9623963133708</v>
      </c>
      <c r="P4" s="4">
        <f t="shared" si="4"/>
        <v>0.13263634167339103</v>
      </c>
      <c r="Q4" s="2">
        <f>Februari!Q4/31</f>
        <v>21083.935483870966</v>
      </c>
      <c r="R4" s="2">
        <f>Februari!R4/28</f>
        <v>22826.714285714286</v>
      </c>
      <c r="S4" s="1">
        <f t="shared" si="5"/>
        <v>1742.7788018433203</v>
      </c>
      <c r="T4" s="1">
        <f t="shared" si="6"/>
        <v>15542.243548387098</v>
      </c>
      <c r="U4" s="1">
        <f t="shared" si="6"/>
        <v>18657.427142857148</v>
      </c>
      <c r="V4" s="4">
        <f t="shared" si="7"/>
        <v>0.42434793797896458</v>
      </c>
      <c r="W4" s="4">
        <f t="shared" si="7"/>
        <v>0.44974842193569398</v>
      </c>
    </row>
    <row r="5" spans="1:23" x14ac:dyDescent="0.25">
      <c r="A5" s="3" t="s">
        <v>3</v>
      </c>
      <c r="B5" s="1">
        <v>28116</v>
      </c>
      <c r="C5" s="14">
        <v>28145</v>
      </c>
      <c r="D5" s="2">
        <f>Februari!D5/31</f>
        <v>129981811.80645162</v>
      </c>
      <c r="E5" s="2">
        <f>Februari!E5/28</f>
        <v>143278426.07142857</v>
      </c>
      <c r="F5" s="1">
        <f t="shared" si="0"/>
        <v>13296614.264976948</v>
      </c>
      <c r="G5" s="4">
        <f t="shared" si="1"/>
        <v>0.10229596033617508</v>
      </c>
      <c r="H5" s="2">
        <f>Februari!H5/31</f>
        <v>12885.258064516129</v>
      </c>
      <c r="I5" s="2">
        <f>Februari!I5/28</f>
        <v>14409.428571428571</v>
      </c>
      <c r="J5" s="2">
        <f>Februari!J5/31</f>
        <v>15433.483870967742</v>
      </c>
      <c r="K5" s="2">
        <f>Februari!K5/28</f>
        <v>17155.142857142859</v>
      </c>
      <c r="L5" s="4">
        <f t="shared" si="2"/>
        <v>1.1115534898386596</v>
      </c>
      <c r="M5" s="5">
        <f>Februari!M5/31</f>
        <v>27190.677419354837</v>
      </c>
      <c r="N5" s="5">
        <f>Februari!N5/28</f>
        <v>27098.242063492064</v>
      </c>
      <c r="O5" s="1">
        <f t="shared" si="3"/>
        <v>-92.435355862773577</v>
      </c>
      <c r="P5" s="4">
        <f t="shared" si="4"/>
        <v>-3.3995238308029922E-3</v>
      </c>
      <c r="Q5" s="2">
        <f>Februari!Q5/31</f>
        <v>15433.483870967742</v>
      </c>
      <c r="R5" s="2">
        <f>Februari!R5/28</f>
        <v>17155.142857142859</v>
      </c>
      <c r="S5" s="1">
        <f t="shared" si="5"/>
        <v>1721.6589861751163</v>
      </c>
      <c r="T5" s="1">
        <f t="shared" si="6"/>
        <v>11757.193548387095</v>
      </c>
      <c r="U5" s="1">
        <f t="shared" si="6"/>
        <v>9943.0992063492049</v>
      </c>
      <c r="V5" s="4">
        <f t="shared" si="7"/>
        <v>0.43239796372333494</v>
      </c>
      <c r="W5" s="4">
        <f t="shared" si="7"/>
        <v>0.36692783181477973</v>
      </c>
    </row>
    <row r="6" spans="1:23" x14ac:dyDescent="0.25">
      <c r="A6" s="3" t="s">
        <v>4</v>
      </c>
      <c r="B6" s="1">
        <v>21216</v>
      </c>
      <c r="C6" s="14">
        <v>21231</v>
      </c>
      <c r="D6" s="2">
        <f>Februari!D6/31</f>
        <v>104447261.96774194</v>
      </c>
      <c r="E6" s="2">
        <f>Februari!E6/28</f>
        <v>114958623.46428572</v>
      </c>
      <c r="F6" s="1">
        <f t="shared" si="0"/>
        <v>10511361.49654378</v>
      </c>
      <c r="G6" s="4">
        <f t="shared" si="1"/>
        <v>0.10063798034064469</v>
      </c>
      <c r="H6" s="2">
        <f>Februari!H6/31</f>
        <v>11398.516129032258</v>
      </c>
      <c r="I6" s="2">
        <f>Februari!I6/28</f>
        <v>12429</v>
      </c>
      <c r="J6" s="2">
        <f>Februari!J6/31</f>
        <v>13087.354838709678</v>
      </c>
      <c r="K6" s="2">
        <f>Februari!K6/28</f>
        <v>14321.214285714286</v>
      </c>
      <c r="L6" s="4">
        <f t="shared" si="2"/>
        <v>1.0942787493890751</v>
      </c>
      <c r="M6" s="5">
        <f>Februari!M6/31</f>
        <v>15837.167741935482</v>
      </c>
      <c r="N6" s="5">
        <f>Februari!N6/28</f>
        <v>20498.886507936513</v>
      </c>
      <c r="O6" s="1">
        <f t="shared" si="3"/>
        <v>4661.7187660010313</v>
      </c>
      <c r="P6" s="4">
        <f t="shared" si="4"/>
        <v>0.29435305870109552</v>
      </c>
      <c r="Q6" s="2">
        <f>Februari!Q6/31</f>
        <v>13087.354838709678</v>
      </c>
      <c r="R6" s="2">
        <f>Februari!R6/28</f>
        <v>14321.214285714286</v>
      </c>
      <c r="S6" s="1">
        <f t="shared" si="5"/>
        <v>1233.8594470046082</v>
      </c>
      <c r="T6" s="1">
        <f t="shared" si="6"/>
        <v>2749.8129032258039</v>
      </c>
      <c r="U6" s="1">
        <f t="shared" si="6"/>
        <v>6177.672222222227</v>
      </c>
      <c r="V6" s="4">
        <f t="shared" si="7"/>
        <v>0.17363034527597582</v>
      </c>
      <c r="W6" s="4">
        <f t="shared" si="7"/>
        <v>0.30136623371373999</v>
      </c>
    </row>
    <row r="7" spans="1:23" x14ac:dyDescent="0.25">
      <c r="A7" s="3" t="s">
        <v>8</v>
      </c>
      <c r="B7" s="1">
        <v>15780</v>
      </c>
      <c r="C7" s="14">
        <v>15794</v>
      </c>
      <c r="D7" s="2">
        <f>Februari!D7/31</f>
        <v>72368102.935483873</v>
      </c>
      <c r="E7" s="2">
        <f>Februari!E7/28</f>
        <v>75871509.035714284</v>
      </c>
      <c r="F7" s="1">
        <f t="shared" si="0"/>
        <v>3503406.1002304107</v>
      </c>
      <c r="G7" s="4">
        <f t="shared" si="1"/>
        <v>4.8410915280640912E-2</v>
      </c>
      <c r="H7" s="2">
        <f>Februari!H7/31</f>
        <v>6414.3870967741932</v>
      </c>
      <c r="I7" s="2">
        <f>Februari!I7/28</f>
        <v>6480.3214285714284</v>
      </c>
      <c r="J7" s="2">
        <f>Februari!J7/31</f>
        <v>8351.4838709677424</v>
      </c>
      <c r="K7" s="2">
        <f>Februari!K7/28</f>
        <v>8635.5714285714294</v>
      </c>
      <c r="L7" s="4">
        <f t="shared" si="2"/>
        <v>1.0340164169616923</v>
      </c>
      <c r="M7" s="5">
        <f>Februari!M7/31</f>
        <v>12388.763870967745</v>
      </c>
      <c r="N7" s="5">
        <f>Februari!N7/28</f>
        <v>12957.607619047618</v>
      </c>
      <c r="O7" s="1">
        <f t="shared" si="3"/>
        <v>568.84374807987297</v>
      </c>
      <c r="P7" s="4">
        <f t="shared" si="4"/>
        <v>4.591610220394312E-2</v>
      </c>
      <c r="Q7" s="2">
        <f>Februari!Q7/31</f>
        <v>8351.4838709677424</v>
      </c>
      <c r="R7" s="2">
        <f>Februari!R7/28</f>
        <v>8635.5714285714294</v>
      </c>
      <c r="S7" s="1">
        <f t="shared" si="5"/>
        <v>284.08755760368695</v>
      </c>
      <c r="T7" s="1">
        <f t="shared" si="6"/>
        <v>4037.2800000000025</v>
      </c>
      <c r="U7" s="1">
        <f t="shared" si="6"/>
        <v>4322.0361904761885</v>
      </c>
      <c r="V7" s="4">
        <f t="shared" si="7"/>
        <v>0.32588239166145566</v>
      </c>
      <c r="W7" s="4">
        <f t="shared" si="7"/>
        <v>0.33355201959679787</v>
      </c>
    </row>
    <row r="8" spans="1:23" x14ac:dyDescent="0.25">
      <c r="A8" s="3" t="s">
        <v>7</v>
      </c>
      <c r="B8" s="1">
        <v>6486</v>
      </c>
      <c r="C8" s="14">
        <v>6497</v>
      </c>
      <c r="D8" s="2">
        <f>Februari!D8/31</f>
        <v>24358059.677419353</v>
      </c>
      <c r="E8" s="2">
        <f>Februari!E8/28</f>
        <v>25949337.892857142</v>
      </c>
      <c r="F8" s="1">
        <f t="shared" si="0"/>
        <v>1591278.2154377885</v>
      </c>
      <c r="G8" s="4">
        <f t="shared" si="1"/>
        <v>6.5328611412876644E-2</v>
      </c>
      <c r="H8" s="2">
        <f>Februari!H8/31</f>
        <v>3000.1290322580644</v>
      </c>
      <c r="I8" s="2">
        <f>Februari!I8/28</f>
        <v>3152.25</v>
      </c>
      <c r="J8" s="2">
        <f>Februari!J8/31</f>
        <v>3280.1290322580644</v>
      </c>
      <c r="K8" s="2">
        <f>Februari!K8/28</f>
        <v>3485.9285714285716</v>
      </c>
      <c r="L8" s="4">
        <f t="shared" si="2"/>
        <v>1.0627412937560061</v>
      </c>
      <c r="M8" s="5">
        <f>Februari!M8/31</f>
        <v>4472.4177419354846</v>
      </c>
      <c r="N8" s="5">
        <f>Februari!N8/28</f>
        <v>4865.3446428571424</v>
      </c>
      <c r="O8" s="1">
        <f>N8-M8</f>
        <v>392.92690092165776</v>
      </c>
      <c r="P8" s="4">
        <f t="shared" si="4"/>
        <v>8.7855590330346608E-2</v>
      </c>
      <c r="Q8" s="2">
        <f>Februari!Q8/31</f>
        <v>3280.1290322580644</v>
      </c>
      <c r="R8" s="2">
        <f>Februari!R8/28</f>
        <v>3485.9285714285716</v>
      </c>
      <c r="S8" s="1">
        <f t="shared" si="5"/>
        <v>205.79953917050716</v>
      </c>
      <c r="T8" s="1">
        <f t="shared" si="6"/>
        <v>1192.2887096774202</v>
      </c>
      <c r="U8" s="1">
        <f t="shared" si="6"/>
        <v>1379.4160714285708</v>
      </c>
      <c r="V8" s="4">
        <f t="shared" si="7"/>
        <v>0.26658706285371392</v>
      </c>
      <c r="W8" s="4">
        <f t="shared" si="7"/>
        <v>0.28351867600041536</v>
      </c>
    </row>
    <row r="9" spans="1:23" ht="16.5" x14ac:dyDescent="0.3">
      <c r="A9" s="16" t="s">
        <v>9</v>
      </c>
      <c r="B9" s="17">
        <f>SUM(B2:B8)</f>
        <v>186628</v>
      </c>
      <c r="C9" s="17">
        <f>SUM(C2:C8)</f>
        <v>186860</v>
      </c>
      <c r="D9" s="17">
        <f>SUM(D2:D8)</f>
        <v>910234385.29032266</v>
      </c>
      <c r="E9" s="17">
        <f>SUM(E2:E8)</f>
        <v>993717451.17857134</v>
      </c>
      <c r="F9" s="10"/>
      <c r="G9" s="11"/>
      <c r="H9" s="17">
        <f>SUM(H2:H8)</f>
        <v>90705.93548387097</v>
      </c>
      <c r="I9" s="17">
        <f>SUM(I2:I8)</f>
        <v>97363.07142857142</v>
      </c>
      <c r="J9" s="17">
        <f>SUM(J2:J8)</f>
        <v>109858.16129032258</v>
      </c>
      <c r="K9" s="17">
        <f>SUM(K2:K8)</f>
        <v>119092.82142857143</v>
      </c>
      <c r="L9" s="9"/>
      <c r="M9" s="18">
        <f>SUM(M2:M8)+3665</f>
        <v>179406.95741935488</v>
      </c>
      <c r="N9" s="18">
        <f>SUM(N2:N8)+4953</f>
        <v>198616.3978571429</v>
      </c>
      <c r="O9" s="8"/>
      <c r="P9" s="8"/>
      <c r="Q9" s="17">
        <f>SUM(Q2:Q8)+2839</f>
        <v>112697.16129032258</v>
      </c>
      <c r="R9" s="19">
        <f>SUM(R2:R8)+2841</f>
        <v>121933.82142857143</v>
      </c>
      <c r="S9" s="10"/>
      <c r="T9" s="17">
        <f>SUM(T2:T8)+826</f>
        <v>66709.796129032256</v>
      </c>
      <c r="U9" s="17">
        <f>SUM(U2:U8)+2112</f>
        <v>76682.576428571454</v>
      </c>
      <c r="V9" s="20">
        <f>SUM(M9-Q9)/M9</f>
        <v>0.3718350563913832</v>
      </c>
      <c r="W9" s="20">
        <f>SUM(N9-R9)/N9</f>
        <v>0.38608381410545106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105B-147B-4173-B677-8F27D7E857DB}">
  <dimension ref="A1:W9"/>
  <sheetViews>
    <sheetView zoomScale="76" workbookViewId="0">
      <selection activeCell="A10" sqref="A10:XFD10"/>
    </sheetView>
  </sheetViews>
  <sheetFormatPr defaultRowHeight="15.75" x14ac:dyDescent="0.25"/>
  <cols>
    <col min="1" max="1" width="11.125" bestFit="1" customWidth="1"/>
    <col min="2" max="2" width="31.75" bestFit="1" customWidth="1"/>
    <col min="3" max="3" width="40.75" bestFit="1" customWidth="1"/>
    <col min="4" max="4" width="36.875" bestFit="1" customWidth="1"/>
    <col min="5" max="5" width="38.25" bestFit="1" customWidth="1"/>
    <col min="6" max="6" width="24" bestFit="1" customWidth="1"/>
    <col min="7" max="7" width="27.875" bestFit="1" customWidth="1"/>
    <col min="8" max="8" width="36.875" bestFit="1" customWidth="1"/>
    <col min="9" max="9" width="38.25" bestFit="1" customWidth="1"/>
    <col min="10" max="10" width="36.875" bestFit="1" customWidth="1"/>
    <col min="11" max="11" width="38.25" bestFit="1" customWidth="1"/>
    <col min="12" max="12" width="25.25" bestFit="1" customWidth="1"/>
    <col min="13" max="13" width="36.875" bestFit="1" customWidth="1"/>
    <col min="14" max="14" width="38.25" bestFit="1" customWidth="1"/>
    <col min="15" max="15" width="30.5" bestFit="1" customWidth="1"/>
    <col min="16" max="16" width="44.625" bestFit="1" customWidth="1"/>
    <col min="17" max="17" width="33" bestFit="1" customWidth="1"/>
    <col min="18" max="18" width="34.375" bestFit="1" customWidth="1"/>
    <col min="19" max="19" width="25.25" bestFit="1" customWidth="1"/>
    <col min="20" max="20" width="22.75" bestFit="1" customWidth="1"/>
    <col min="21" max="21" width="24" bestFit="1" customWidth="1"/>
    <col min="22" max="22" width="35.625" bestFit="1" customWidth="1"/>
    <col min="23" max="23" width="38.25" bestFit="1" customWidth="1"/>
  </cols>
  <sheetData>
    <row r="1" spans="1:23" x14ac:dyDescent="0.25">
      <c r="A1" s="15" t="s">
        <v>0</v>
      </c>
      <c r="B1" s="15" t="s">
        <v>32</v>
      </c>
      <c r="C1" s="15" t="s">
        <v>31</v>
      </c>
      <c r="D1" s="15" t="s">
        <v>13</v>
      </c>
      <c r="E1" s="15" t="s">
        <v>33</v>
      </c>
      <c r="F1" s="15" t="s">
        <v>11</v>
      </c>
      <c r="G1" s="15" t="s">
        <v>12</v>
      </c>
      <c r="H1" s="15" t="s">
        <v>16</v>
      </c>
      <c r="I1" s="15" t="s">
        <v>34</v>
      </c>
      <c r="J1" s="15" t="s">
        <v>18</v>
      </c>
      <c r="K1" s="15" t="s">
        <v>35</v>
      </c>
      <c r="L1" s="15" t="s">
        <v>19</v>
      </c>
      <c r="M1" s="15" t="s">
        <v>21</v>
      </c>
      <c r="N1" s="15" t="s">
        <v>36</v>
      </c>
      <c r="O1" s="15" t="s">
        <v>22</v>
      </c>
      <c r="P1" s="15" t="s">
        <v>23</v>
      </c>
      <c r="Q1" s="15" t="s">
        <v>25</v>
      </c>
      <c r="R1" s="15" t="s">
        <v>37</v>
      </c>
      <c r="S1" s="15" t="s">
        <v>26</v>
      </c>
      <c r="T1" s="15" t="s">
        <v>28</v>
      </c>
      <c r="U1" s="15" t="s">
        <v>38</v>
      </c>
      <c r="V1" s="15" t="s">
        <v>39</v>
      </c>
      <c r="W1" s="15" t="s">
        <v>40</v>
      </c>
    </row>
    <row r="2" spans="1:23" x14ac:dyDescent="0.25">
      <c r="A2" s="3" t="s">
        <v>2</v>
      </c>
      <c r="B2" s="14">
        <v>46603</v>
      </c>
      <c r="C2" s="14">
        <v>46627</v>
      </c>
      <c r="D2" s="2">
        <v>7748180087</v>
      </c>
      <c r="E2" s="2">
        <v>6983417956</v>
      </c>
      <c r="F2" s="1">
        <f>E2-D2</f>
        <v>-764762131</v>
      </c>
      <c r="G2" s="4">
        <f>F2/D2</f>
        <v>-9.8702162625663295E-2</v>
      </c>
      <c r="H2" s="2">
        <v>670064</v>
      </c>
      <c r="I2" s="2">
        <v>609136</v>
      </c>
      <c r="J2" s="2">
        <v>877850</v>
      </c>
      <c r="K2" s="2">
        <v>792606</v>
      </c>
      <c r="L2" s="4">
        <f>K2/J2</f>
        <v>0.90289457196559775</v>
      </c>
      <c r="M2" s="23">
        <v>1461926.8766666672</v>
      </c>
      <c r="N2" s="23">
        <v>1267967.6766666668</v>
      </c>
      <c r="O2" s="1">
        <f>N2-M2</f>
        <v>-193959.20000000042</v>
      </c>
      <c r="P2" s="4">
        <f>O2/M2</f>
        <v>-0.13267366726456656</v>
      </c>
      <c r="Q2" s="2">
        <v>877850</v>
      </c>
      <c r="R2" s="2">
        <v>792606</v>
      </c>
      <c r="S2" s="1">
        <f>R2-Q2</f>
        <v>-85244</v>
      </c>
      <c r="T2" s="1">
        <f>M2-Q2</f>
        <v>584076.87666666717</v>
      </c>
      <c r="U2" s="1">
        <f>N2-R2</f>
        <v>475361.67666666675</v>
      </c>
      <c r="V2" s="4">
        <f>T2/M2</f>
        <v>0.39952537024178542</v>
      </c>
      <c r="W2" s="4">
        <f>U2/N2</f>
        <v>0.37490046900590945</v>
      </c>
    </row>
    <row r="3" spans="1:23" x14ac:dyDescent="0.25">
      <c r="A3" s="3" t="s">
        <v>6</v>
      </c>
      <c r="B3" s="14">
        <v>34789</v>
      </c>
      <c r="C3" s="14">
        <v>34985</v>
      </c>
      <c r="D3" s="2">
        <v>5315742535</v>
      </c>
      <c r="E3" s="2">
        <v>4830758887</v>
      </c>
      <c r="F3" s="1">
        <f t="shared" ref="F3:F8" si="0">E3-D3</f>
        <v>-484983648</v>
      </c>
      <c r="G3" s="4">
        <f t="shared" ref="G3:G8" si="1">F3/D3</f>
        <v>-9.1235353256250207E-2</v>
      </c>
      <c r="H3" s="2">
        <v>466574</v>
      </c>
      <c r="I3" s="2">
        <v>423647</v>
      </c>
      <c r="J3" s="2">
        <v>596861</v>
      </c>
      <c r="K3" s="2">
        <v>542455</v>
      </c>
      <c r="L3" s="4">
        <f t="shared" ref="L3:L8" si="2">K3/J3</f>
        <v>0.90884644833554207</v>
      </c>
      <c r="M3" s="23">
        <v>967330.04</v>
      </c>
      <c r="N3" s="23">
        <v>891487.04</v>
      </c>
      <c r="O3" s="1">
        <f t="shared" ref="O3:O7" si="3">N3-M3</f>
        <v>-75843</v>
      </c>
      <c r="P3" s="4">
        <f t="shared" ref="P3:P8" si="4">O3/M3</f>
        <v>-7.8404470929074002E-2</v>
      </c>
      <c r="Q3" s="2">
        <v>596861</v>
      </c>
      <c r="R3" s="2">
        <v>542455</v>
      </c>
      <c r="S3" s="1">
        <f t="shared" ref="S3:S8" si="5">R3-Q3</f>
        <v>-54406</v>
      </c>
      <c r="T3" s="1">
        <f t="shared" ref="T3:U8" si="6">M3-Q3</f>
        <v>370469.04000000004</v>
      </c>
      <c r="U3" s="1">
        <f t="shared" si="6"/>
        <v>349032.04000000004</v>
      </c>
      <c r="V3" s="4">
        <f t="shared" ref="V3:W8" si="7">T3/M3</f>
        <v>0.38298101442192367</v>
      </c>
      <c r="W3" s="4">
        <f t="shared" si="7"/>
        <v>0.39151667308590377</v>
      </c>
    </row>
    <row r="4" spans="1:23" x14ac:dyDescent="0.25">
      <c r="A4" s="3" t="s">
        <v>5</v>
      </c>
      <c r="B4" s="14">
        <v>33801</v>
      </c>
      <c r="C4" s="14">
        <v>33791</v>
      </c>
      <c r="D4" s="2">
        <v>4678544910</v>
      </c>
      <c r="E4" s="2">
        <v>4287192017</v>
      </c>
      <c r="F4" s="1">
        <f t="shared" si="0"/>
        <v>-391352893</v>
      </c>
      <c r="G4" s="4">
        <f t="shared" si="1"/>
        <v>-8.3648420722330946E-2</v>
      </c>
      <c r="H4" s="2">
        <v>568340</v>
      </c>
      <c r="I4" s="2">
        <v>526218</v>
      </c>
      <c r="J4" s="2">
        <v>639148</v>
      </c>
      <c r="K4" s="2">
        <v>591222</v>
      </c>
      <c r="L4" s="4">
        <f t="shared" si="2"/>
        <v>0.92501580228679425</v>
      </c>
      <c r="M4" s="23">
        <v>1161555.9600000002</v>
      </c>
      <c r="N4" s="23">
        <v>971630.32999999984</v>
      </c>
      <c r="O4" s="1">
        <f t="shared" si="3"/>
        <v>-189925.63000000035</v>
      </c>
      <c r="P4" s="4">
        <f t="shared" si="4"/>
        <v>-0.163509668531166</v>
      </c>
      <c r="Q4" s="2">
        <v>639148</v>
      </c>
      <c r="R4" s="2">
        <v>591222</v>
      </c>
      <c r="S4" s="1">
        <f t="shared" si="5"/>
        <v>-47926</v>
      </c>
      <c r="T4" s="1">
        <f t="shared" si="6"/>
        <v>522407.9600000002</v>
      </c>
      <c r="U4" s="1">
        <f t="shared" si="6"/>
        <v>380408.32999999984</v>
      </c>
      <c r="V4" s="4">
        <f t="shared" si="7"/>
        <v>0.44974842193569403</v>
      </c>
      <c r="W4" s="4">
        <f t="shared" si="7"/>
        <v>0.39151549540451241</v>
      </c>
    </row>
    <row r="5" spans="1:23" x14ac:dyDescent="0.25">
      <c r="A5" s="3" t="s">
        <v>3</v>
      </c>
      <c r="B5" s="14">
        <v>28145</v>
      </c>
      <c r="C5" s="14">
        <v>28175</v>
      </c>
      <c r="D5" s="2">
        <v>4011795930</v>
      </c>
      <c r="E5" s="2">
        <v>3725166353</v>
      </c>
      <c r="F5" s="1">
        <f t="shared" si="0"/>
        <v>-286629577</v>
      </c>
      <c r="G5" s="4">
        <f t="shared" si="1"/>
        <v>-7.1446699184422369E-2</v>
      </c>
      <c r="H5" s="2">
        <v>403464</v>
      </c>
      <c r="I5" s="2">
        <v>381723</v>
      </c>
      <c r="J5" s="2">
        <v>480344</v>
      </c>
      <c r="K5" s="2">
        <v>452823</v>
      </c>
      <c r="L5" s="4">
        <f t="shared" si="2"/>
        <v>0.94270564428826009</v>
      </c>
      <c r="M5" s="23">
        <v>758750.77777777775</v>
      </c>
      <c r="N5" s="23">
        <v>727952.77777777775</v>
      </c>
      <c r="O5" s="1">
        <f t="shared" si="3"/>
        <v>-30798</v>
      </c>
      <c r="P5" s="4">
        <f t="shared" si="4"/>
        <v>-4.0590403202222604E-2</v>
      </c>
      <c r="Q5" s="2">
        <v>480344</v>
      </c>
      <c r="R5" s="2">
        <v>452823</v>
      </c>
      <c r="S5" s="1">
        <f t="shared" si="5"/>
        <v>-27521</v>
      </c>
      <c r="T5" s="1">
        <f t="shared" si="6"/>
        <v>278406.77777777775</v>
      </c>
      <c r="U5" s="1">
        <f t="shared" si="6"/>
        <v>275129.77777777775</v>
      </c>
      <c r="V5" s="4">
        <f t="shared" si="7"/>
        <v>0.36692783181477973</v>
      </c>
      <c r="W5" s="4">
        <f t="shared" si="7"/>
        <v>0.37795003491526846</v>
      </c>
    </row>
    <row r="6" spans="1:23" x14ac:dyDescent="0.25">
      <c r="A6" s="3" t="s">
        <v>4</v>
      </c>
      <c r="B6" s="14">
        <v>21231</v>
      </c>
      <c r="C6" s="14">
        <v>21225</v>
      </c>
      <c r="D6" s="2">
        <v>3218841457</v>
      </c>
      <c r="E6" s="2">
        <v>2915896545</v>
      </c>
      <c r="F6" s="1">
        <f t="shared" si="0"/>
        <v>-302944912</v>
      </c>
      <c r="G6" s="4">
        <f t="shared" si="1"/>
        <v>-9.4116133412283184E-2</v>
      </c>
      <c r="H6" s="2">
        <v>348012</v>
      </c>
      <c r="I6" s="2">
        <v>320778</v>
      </c>
      <c r="J6" s="2">
        <v>400994</v>
      </c>
      <c r="K6" s="2">
        <v>366890</v>
      </c>
      <c r="L6" s="4">
        <f t="shared" si="2"/>
        <v>0.91495134590542504</v>
      </c>
      <c r="M6" s="23">
        <v>573968.82222222234</v>
      </c>
      <c r="N6" s="23">
        <v>573365.32222222234</v>
      </c>
      <c r="O6" s="1">
        <f t="shared" si="3"/>
        <v>-603.5</v>
      </c>
      <c r="P6" s="4">
        <f t="shared" si="4"/>
        <v>-1.0514508395481177E-3</v>
      </c>
      <c r="Q6" s="2">
        <v>400994</v>
      </c>
      <c r="R6" s="2">
        <v>366890</v>
      </c>
      <c r="S6" s="1">
        <f t="shared" si="5"/>
        <v>-34104</v>
      </c>
      <c r="T6" s="1">
        <f t="shared" si="6"/>
        <v>172974.82222222234</v>
      </c>
      <c r="U6" s="1">
        <f t="shared" si="6"/>
        <v>206475.32222222234</v>
      </c>
      <c r="V6" s="4">
        <f t="shared" si="7"/>
        <v>0.30136623371373999</v>
      </c>
      <c r="W6" s="4">
        <f t="shared" si="7"/>
        <v>0.36011128371345341</v>
      </c>
    </row>
    <row r="7" spans="1:23" x14ac:dyDescent="0.25">
      <c r="A7" s="3" t="s">
        <v>8</v>
      </c>
      <c r="B7" s="14">
        <v>15794</v>
      </c>
      <c r="C7" s="14">
        <v>15772</v>
      </c>
      <c r="D7" s="2">
        <v>2124402253</v>
      </c>
      <c r="E7" s="2">
        <v>2225023116</v>
      </c>
      <c r="F7" s="1">
        <f t="shared" si="0"/>
        <v>100620863</v>
      </c>
      <c r="G7" s="4">
        <f t="shared" si="1"/>
        <v>4.7364317589998338E-2</v>
      </c>
      <c r="H7" s="2">
        <v>181449</v>
      </c>
      <c r="I7" s="2">
        <v>174551</v>
      </c>
      <c r="J7" s="2">
        <v>241796</v>
      </c>
      <c r="K7" s="2">
        <v>243936</v>
      </c>
      <c r="L7" s="4">
        <f t="shared" si="2"/>
        <v>1.0088504359046468</v>
      </c>
      <c r="M7" s="23">
        <v>362813.01333333331</v>
      </c>
      <c r="N7" s="23">
        <v>361481.36333333334</v>
      </c>
      <c r="O7" s="1">
        <f t="shared" si="3"/>
        <v>-1331.6499999999651</v>
      </c>
      <c r="P7" s="4">
        <f t="shared" si="4"/>
        <v>-3.670347950768006E-3</v>
      </c>
      <c r="Q7" s="2">
        <v>241796</v>
      </c>
      <c r="R7" s="2">
        <v>243936</v>
      </c>
      <c r="S7" s="1">
        <f t="shared" si="5"/>
        <v>2140</v>
      </c>
      <c r="T7" s="1">
        <f t="shared" si="6"/>
        <v>121017.01333333331</v>
      </c>
      <c r="U7" s="1">
        <f t="shared" si="6"/>
        <v>117545.36333333334</v>
      </c>
      <c r="V7" s="4">
        <f t="shared" si="7"/>
        <v>0.33355201959679792</v>
      </c>
      <c r="W7" s="4">
        <f t="shared" si="7"/>
        <v>0.32517682861824626</v>
      </c>
    </row>
    <row r="8" spans="1:23" x14ac:dyDescent="0.25">
      <c r="A8" s="3" t="s">
        <v>7</v>
      </c>
      <c r="B8" s="14">
        <v>6497</v>
      </c>
      <c r="C8" s="14">
        <v>6501</v>
      </c>
      <c r="D8" s="2">
        <v>726581461</v>
      </c>
      <c r="E8" s="2">
        <v>650725421</v>
      </c>
      <c r="F8" s="1">
        <f t="shared" si="0"/>
        <v>-75856040</v>
      </c>
      <c r="G8" s="4">
        <f t="shared" si="1"/>
        <v>-0.10440128749720466</v>
      </c>
      <c r="H8" s="2">
        <v>88263</v>
      </c>
      <c r="I8" s="2">
        <v>80624</v>
      </c>
      <c r="J8" s="2">
        <v>97606</v>
      </c>
      <c r="K8" s="2">
        <v>88273</v>
      </c>
      <c r="L8" s="4">
        <f t="shared" si="2"/>
        <v>0.90438087822469926</v>
      </c>
      <c r="M8" s="23">
        <v>136229.65</v>
      </c>
      <c r="N8" s="23">
        <v>158787.65</v>
      </c>
      <c r="O8" s="1">
        <f>N8-M8</f>
        <v>22558</v>
      </c>
      <c r="P8" s="4">
        <f t="shared" si="4"/>
        <v>0.16558803461654639</v>
      </c>
      <c r="Q8" s="2">
        <v>97606</v>
      </c>
      <c r="R8" s="2">
        <v>88273</v>
      </c>
      <c r="S8" s="1">
        <f t="shared" si="5"/>
        <v>-9333</v>
      </c>
      <c r="T8" s="1">
        <f t="shared" si="6"/>
        <v>38623.649999999994</v>
      </c>
      <c r="U8" s="1">
        <f t="shared" si="6"/>
        <v>70514.649999999994</v>
      </c>
      <c r="V8" s="4">
        <f t="shared" si="7"/>
        <v>0.28351867600041547</v>
      </c>
      <c r="W8" s="4">
        <f t="shared" si="7"/>
        <v>0.4440814509188844</v>
      </c>
    </row>
    <row r="9" spans="1:23" ht="16.5" x14ac:dyDescent="0.3">
      <c r="A9" s="16" t="s">
        <v>9</v>
      </c>
      <c r="B9" s="17">
        <f>SUM(B2:B8)</f>
        <v>186860</v>
      </c>
      <c r="C9" s="17">
        <f>SUM(C2:C8)</f>
        <v>187076</v>
      </c>
      <c r="D9" s="17">
        <f>SUM(D2:D8)</f>
        <v>27824088633</v>
      </c>
      <c r="E9" s="17">
        <f>SUM(E2:E8)</f>
        <v>25618180295</v>
      </c>
      <c r="F9" s="10"/>
      <c r="G9" s="11"/>
      <c r="H9" s="17">
        <f>SUM(H2:H8)</f>
        <v>2726166</v>
      </c>
      <c r="I9" s="17">
        <f>SUM(I2:I8)</f>
        <v>2516677</v>
      </c>
      <c r="J9" s="17">
        <f>SUM(J2:J8)</f>
        <v>3334599</v>
      </c>
      <c r="K9" s="17">
        <f>SUM(K2:K8)</f>
        <v>3078205</v>
      </c>
      <c r="L9" s="9"/>
      <c r="M9" s="18">
        <f>SUM(M2:M8)+4953</f>
        <v>5427528.1400000015</v>
      </c>
      <c r="N9" s="18">
        <f>SUM(N2:N8)+12767</f>
        <v>4965439.1600000011</v>
      </c>
      <c r="O9" s="8"/>
      <c r="P9" s="8"/>
      <c r="Q9" s="17">
        <f>SUM(Q2:Q8)+2841</f>
        <v>3337440</v>
      </c>
      <c r="R9" s="17">
        <f>SUM(R2:R8)+2548</f>
        <v>3080753</v>
      </c>
      <c r="S9" s="10"/>
      <c r="T9" s="17">
        <f>SUM(T2:T8)+2112</f>
        <v>2090088.1400000006</v>
      </c>
      <c r="U9" s="17">
        <f>SUM(U2:U8)+10219</f>
        <v>1884686.16</v>
      </c>
      <c r="V9" s="20">
        <f>SUM(M9-Q9)/M9</f>
        <v>0.38509024478314374</v>
      </c>
      <c r="W9" s="20">
        <f>SUM(N9-R9)/N9</f>
        <v>0.37956082015513021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67B8-FAA0-4A2B-913B-5EE1BCFC92A7}">
  <dimension ref="A1:W9"/>
  <sheetViews>
    <sheetView zoomScale="58" workbookViewId="0">
      <selection activeCell="A10" sqref="A10:XFD10"/>
    </sheetView>
  </sheetViews>
  <sheetFormatPr defaultRowHeight="15.75" x14ac:dyDescent="0.25"/>
  <cols>
    <col min="1" max="1" width="11.125" bestFit="1" customWidth="1"/>
    <col min="2" max="2" width="33" bestFit="1" customWidth="1"/>
    <col min="3" max="3" width="36.875" bestFit="1" customWidth="1"/>
    <col min="4" max="4" width="38.25" bestFit="1" customWidth="1"/>
    <col min="5" max="5" width="34.375" bestFit="1" customWidth="1"/>
    <col min="6" max="6" width="24" bestFit="1" customWidth="1"/>
    <col min="7" max="7" width="27.875" bestFit="1" customWidth="1"/>
    <col min="8" max="8" width="38.25" bestFit="1" customWidth="1"/>
    <col min="9" max="9" width="34.375" bestFit="1" customWidth="1"/>
    <col min="10" max="10" width="38.25" bestFit="1" customWidth="1"/>
    <col min="11" max="11" width="34.375" bestFit="1" customWidth="1"/>
    <col min="12" max="12" width="25.25" bestFit="1" customWidth="1"/>
    <col min="13" max="13" width="38.25" bestFit="1" customWidth="1"/>
    <col min="14" max="14" width="34.375" bestFit="1" customWidth="1"/>
    <col min="15" max="15" width="30.5" bestFit="1" customWidth="1"/>
    <col min="16" max="16" width="44.625" bestFit="1" customWidth="1"/>
    <col min="17" max="17" width="34.375" bestFit="1" customWidth="1"/>
    <col min="18" max="18" width="30.5" bestFit="1" customWidth="1"/>
    <col min="19" max="19" width="25.25" bestFit="1" customWidth="1"/>
    <col min="20" max="20" width="24" bestFit="1" customWidth="1"/>
    <col min="21" max="21" width="20.125" bestFit="1" customWidth="1"/>
    <col min="22" max="22" width="36.875" bestFit="1" customWidth="1"/>
    <col min="23" max="23" width="34.375" bestFit="1" customWidth="1"/>
  </cols>
  <sheetData>
    <row r="1" spans="1:23" x14ac:dyDescent="0.25">
      <c r="A1" s="15" t="s">
        <v>0</v>
      </c>
      <c r="B1" s="15" t="s">
        <v>32</v>
      </c>
      <c r="C1" s="15" t="s">
        <v>31</v>
      </c>
      <c r="D1" s="15" t="s">
        <v>13</v>
      </c>
      <c r="E1" s="15" t="s">
        <v>33</v>
      </c>
      <c r="F1" s="15" t="s">
        <v>11</v>
      </c>
      <c r="G1" s="15" t="s">
        <v>12</v>
      </c>
      <c r="H1" s="15" t="s">
        <v>16</v>
      </c>
      <c r="I1" s="15" t="s">
        <v>34</v>
      </c>
      <c r="J1" s="15" t="s">
        <v>18</v>
      </c>
      <c r="K1" s="15" t="s">
        <v>35</v>
      </c>
      <c r="L1" s="15" t="s">
        <v>19</v>
      </c>
      <c r="M1" s="15" t="s">
        <v>21</v>
      </c>
      <c r="N1" s="15" t="s">
        <v>36</v>
      </c>
      <c r="O1" s="15" t="s">
        <v>22</v>
      </c>
      <c r="P1" s="15" t="s">
        <v>23</v>
      </c>
      <c r="Q1" s="15" t="s">
        <v>25</v>
      </c>
      <c r="R1" s="15" t="s">
        <v>37</v>
      </c>
      <c r="S1" s="15" t="s">
        <v>26</v>
      </c>
      <c r="T1" s="15" t="s">
        <v>28</v>
      </c>
      <c r="U1" s="15" t="s">
        <v>38</v>
      </c>
      <c r="V1" s="15" t="s">
        <v>39</v>
      </c>
      <c r="W1" s="15" t="s">
        <v>40</v>
      </c>
    </row>
    <row r="2" spans="1:23" x14ac:dyDescent="0.25">
      <c r="A2" s="3" t="s">
        <v>2</v>
      </c>
      <c r="B2" s="14">
        <v>46603</v>
      </c>
      <c r="C2" s="14">
        <v>46627</v>
      </c>
      <c r="D2" s="2">
        <f>Maret!D2/28</f>
        <v>276720717.39285713</v>
      </c>
      <c r="E2" s="2">
        <f>Maret!E2/31</f>
        <v>225271546.96774194</v>
      </c>
      <c r="F2" s="1">
        <f>E2-D2</f>
        <v>-51449170.425115198</v>
      </c>
      <c r="G2" s="4">
        <f>F2/D2</f>
        <v>-0.18592453398447004</v>
      </c>
      <c r="H2" s="2">
        <f>Maret!H2/28</f>
        <v>23930.857142857141</v>
      </c>
      <c r="I2" s="2">
        <f>Maret!I2/31</f>
        <v>19649.548387096773</v>
      </c>
      <c r="J2" s="2">
        <f>Maret!J2/28</f>
        <v>31351.785714285714</v>
      </c>
      <c r="K2" s="2">
        <f>Maret!K2/31</f>
        <v>25567.935483870966</v>
      </c>
      <c r="L2" s="4">
        <f>K2/J2</f>
        <v>0.81551767790441088</v>
      </c>
      <c r="M2" s="23">
        <f>Maret!M2/28</f>
        <v>52211.674166666686</v>
      </c>
      <c r="N2" s="23">
        <f>Maret!N2/31</f>
        <v>40902.183118279572</v>
      </c>
      <c r="O2" s="1">
        <f>N2-M2</f>
        <v>-11309.491048387114</v>
      </c>
      <c r="P2" s="4">
        <f>O2/M2</f>
        <v>-0.2166084736583182</v>
      </c>
      <c r="Q2" s="2">
        <f>Maret!Q2/28</f>
        <v>31351.785714285714</v>
      </c>
      <c r="R2" s="2">
        <f>Maret!R2/31</f>
        <v>25567.935483870966</v>
      </c>
      <c r="S2" s="1">
        <f>R2-Q2</f>
        <v>-5783.8502304147478</v>
      </c>
      <c r="T2" s="1">
        <f>M2-Q2</f>
        <v>20859.888452380972</v>
      </c>
      <c r="U2" s="1">
        <f>N2-R2</f>
        <v>15334.247634408606</v>
      </c>
      <c r="V2" s="4">
        <f>T2/M2</f>
        <v>0.39952537024178542</v>
      </c>
      <c r="W2" s="4">
        <f>U2/N2</f>
        <v>0.37490046900590951</v>
      </c>
    </row>
    <row r="3" spans="1:23" x14ac:dyDescent="0.25">
      <c r="A3" s="3" t="s">
        <v>6</v>
      </c>
      <c r="B3" s="14">
        <v>34789</v>
      </c>
      <c r="C3" s="14">
        <v>34985</v>
      </c>
      <c r="D3" s="2">
        <f>Maret!D3/28</f>
        <v>189847947.67857143</v>
      </c>
      <c r="E3" s="2">
        <f>Maret!E3/31</f>
        <v>155830931.83870968</v>
      </c>
      <c r="F3" s="1">
        <f t="shared" ref="F3:F8" si="0">E3-D3</f>
        <v>-34017015.839861751</v>
      </c>
      <c r="G3" s="4">
        <f t="shared" ref="G3:G8" si="1">F3/D3</f>
        <v>-0.17918031907016146</v>
      </c>
      <c r="H3" s="2">
        <f>Maret!H3/28</f>
        <v>16663.357142857141</v>
      </c>
      <c r="I3" s="2">
        <f>Maret!I3/31</f>
        <v>13666.032258064517</v>
      </c>
      <c r="J3" s="2">
        <f>Maret!J3/28</f>
        <v>21316.464285714286</v>
      </c>
      <c r="K3" s="2">
        <f>Maret!K3/31</f>
        <v>17498.548387096773</v>
      </c>
      <c r="L3" s="4">
        <f t="shared" ref="L3:L8" si="2">K3/J3</f>
        <v>0.82089356623855403</v>
      </c>
      <c r="M3" s="23">
        <f>Maret!M3/28</f>
        <v>34547.501428571428</v>
      </c>
      <c r="N3" s="23">
        <f>Maret!N3/31</f>
        <v>28757.646451612905</v>
      </c>
      <c r="O3" s="1">
        <f t="shared" ref="O3:O7" si="3">N3-M3</f>
        <v>-5789.8549769585225</v>
      </c>
      <c r="P3" s="4">
        <f t="shared" ref="P3:P8" si="4">O3/M3</f>
        <v>-0.16759113503271192</v>
      </c>
      <c r="Q3" s="2">
        <f>Maret!Q3/28</f>
        <v>21316.464285714286</v>
      </c>
      <c r="R3" s="2">
        <f>Maret!R3/31</f>
        <v>17498.548387096773</v>
      </c>
      <c r="S3" s="1">
        <f t="shared" ref="S3:S8" si="5">R3-Q3</f>
        <v>-3817.9158986175134</v>
      </c>
      <c r="T3" s="1">
        <f t="shared" ref="T3:U8" si="6">M3-Q3</f>
        <v>13231.037142857142</v>
      </c>
      <c r="U3" s="1">
        <f t="shared" si="6"/>
        <v>11259.098064516133</v>
      </c>
      <c r="V3" s="4">
        <f t="shared" ref="V3:W8" si="7">T3/M3</f>
        <v>0.38298101442192362</v>
      </c>
      <c r="W3" s="4">
        <f t="shared" si="7"/>
        <v>0.39151667308590382</v>
      </c>
    </row>
    <row r="4" spans="1:23" x14ac:dyDescent="0.25">
      <c r="A4" s="3" t="s">
        <v>5</v>
      </c>
      <c r="B4" s="14">
        <v>33801</v>
      </c>
      <c r="C4" s="14">
        <v>33791</v>
      </c>
      <c r="D4" s="2">
        <f>Maret!D4/28</f>
        <v>167090889.64285713</v>
      </c>
      <c r="E4" s="2">
        <f>Maret!E4/31</f>
        <v>138296516.67741936</v>
      </c>
      <c r="F4" s="1">
        <f t="shared" si="0"/>
        <v>-28794372.96543777</v>
      </c>
      <c r="G4" s="4">
        <f t="shared" si="1"/>
        <v>-0.17232760581371817</v>
      </c>
      <c r="H4" s="2">
        <f>Maret!H4/28</f>
        <v>20297.857142857141</v>
      </c>
      <c r="I4" s="2">
        <f>Maret!I4/31</f>
        <v>16974.774193548386</v>
      </c>
      <c r="J4" s="2">
        <f>Maret!J4/28</f>
        <v>22826.714285714286</v>
      </c>
      <c r="K4" s="2">
        <f>Maret!K4/31</f>
        <v>19071.677419354837</v>
      </c>
      <c r="L4" s="4">
        <f t="shared" si="2"/>
        <v>0.83549814400097544</v>
      </c>
      <c r="M4" s="23">
        <f>Maret!M4/28</f>
        <v>41484.141428571435</v>
      </c>
      <c r="N4" s="23">
        <f>Maret!N4/31</f>
        <v>31342.913870967735</v>
      </c>
      <c r="O4" s="1">
        <f t="shared" si="3"/>
        <v>-10141.227557603699</v>
      </c>
      <c r="P4" s="4">
        <f t="shared" si="4"/>
        <v>-0.24446034577008544</v>
      </c>
      <c r="Q4" s="2">
        <f>Maret!Q4/28</f>
        <v>22826.714285714286</v>
      </c>
      <c r="R4" s="2">
        <f>Maret!R4/31</f>
        <v>19071.677419354837</v>
      </c>
      <c r="S4" s="1">
        <f t="shared" si="5"/>
        <v>-3755.036866359449</v>
      </c>
      <c r="T4" s="1">
        <f t="shared" si="6"/>
        <v>18657.427142857148</v>
      </c>
      <c r="U4" s="1">
        <f t="shared" si="6"/>
        <v>12271.236451612898</v>
      </c>
      <c r="V4" s="4">
        <f t="shared" si="7"/>
        <v>0.44974842193569398</v>
      </c>
      <c r="W4" s="4">
        <f t="shared" si="7"/>
        <v>0.39151549540451247</v>
      </c>
    </row>
    <row r="5" spans="1:23" x14ac:dyDescent="0.25">
      <c r="A5" s="3" t="s">
        <v>3</v>
      </c>
      <c r="B5" s="14">
        <v>28145</v>
      </c>
      <c r="C5" s="14">
        <v>28175</v>
      </c>
      <c r="D5" s="2">
        <f>Maret!D5/28</f>
        <v>143278426.07142857</v>
      </c>
      <c r="E5" s="2">
        <f>Maret!E5/31</f>
        <v>120166656.5483871</v>
      </c>
      <c r="F5" s="1">
        <f t="shared" si="0"/>
        <v>-23111769.523041472</v>
      </c>
      <c r="G5" s="4">
        <f t="shared" si="1"/>
        <v>-0.16130669603754277</v>
      </c>
      <c r="H5" s="2">
        <f>Maret!H5/28</f>
        <v>14409.428571428571</v>
      </c>
      <c r="I5" s="2">
        <f>Maret!I5/31</f>
        <v>12313.645161290322</v>
      </c>
      <c r="J5" s="2">
        <f>Maret!J5/28</f>
        <v>17155.142857142859</v>
      </c>
      <c r="K5" s="2">
        <f>Maret!K5/31</f>
        <v>14607.193548387097</v>
      </c>
      <c r="L5" s="4">
        <f t="shared" si="2"/>
        <v>0.8514760658087509</v>
      </c>
      <c r="M5" s="23">
        <f>Maret!M5/28</f>
        <v>27098.242063492064</v>
      </c>
      <c r="N5" s="23">
        <f>Maret!N5/31</f>
        <v>23482.347670250896</v>
      </c>
      <c r="O5" s="1">
        <f t="shared" si="3"/>
        <v>-3615.8943932411676</v>
      </c>
      <c r="P5" s="4">
        <f t="shared" si="4"/>
        <v>-0.13343649321491075</v>
      </c>
      <c r="Q5" s="2">
        <f>Maret!Q5/28</f>
        <v>17155.142857142859</v>
      </c>
      <c r="R5" s="2">
        <f>Maret!R5/31</f>
        <v>14607.193548387097</v>
      </c>
      <c r="S5" s="1">
        <f t="shared" si="5"/>
        <v>-2547.9493087557621</v>
      </c>
      <c r="T5" s="1">
        <f t="shared" si="6"/>
        <v>9943.0992063492049</v>
      </c>
      <c r="U5" s="1">
        <f t="shared" si="6"/>
        <v>8875.1541218637994</v>
      </c>
      <c r="V5" s="4">
        <f t="shared" si="7"/>
        <v>0.36692783181477973</v>
      </c>
      <c r="W5" s="4">
        <f t="shared" si="7"/>
        <v>0.37795003491526846</v>
      </c>
    </row>
    <row r="6" spans="1:23" x14ac:dyDescent="0.25">
      <c r="A6" s="3" t="s">
        <v>4</v>
      </c>
      <c r="B6" s="14">
        <v>21231</v>
      </c>
      <c r="C6" s="14">
        <v>21225</v>
      </c>
      <c r="D6" s="2">
        <f>Maret!D6/28</f>
        <v>114958623.46428572</v>
      </c>
      <c r="E6" s="2">
        <f>Maret!E6/31</f>
        <v>94061178.870967746</v>
      </c>
      <c r="F6" s="1">
        <f t="shared" si="0"/>
        <v>-20897444.593317971</v>
      </c>
      <c r="G6" s="4">
        <f t="shared" si="1"/>
        <v>-0.18178231404980416</v>
      </c>
      <c r="H6" s="2">
        <f>Maret!H6/28</f>
        <v>12429</v>
      </c>
      <c r="I6" s="2">
        <f>Maret!I6/31</f>
        <v>10347.677419354839</v>
      </c>
      <c r="J6" s="2">
        <f>Maret!J6/28</f>
        <v>14321.214285714286</v>
      </c>
      <c r="K6" s="2">
        <f>Maret!K6/31</f>
        <v>11835.161290322581</v>
      </c>
      <c r="L6" s="4">
        <f t="shared" si="2"/>
        <v>0.82640766726941617</v>
      </c>
      <c r="M6" s="23">
        <f>Maret!M6/28</f>
        <v>20498.886507936513</v>
      </c>
      <c r="N6" s="23">
        <f>Maret!N6/31</f>
        <v>18495.655555555561</v>
      </c>
      <c r="O6" s="1">
        <f t="shared" si="3"/>
        <v>-2003.2309523809527</v>
      </c>
      <c r="P6" s="4">
        <f t="shared" si="4"/>
        <v>-9.7723891080882155E-2</v>
      </c>
      <c r="Q6" s="2">
        <f>Maret!Q6/28</f>
        <v>14321.214285714286</v>
      </c>
      <c r="R6" s="2">
        <f>Maret!R6/31</f>
        <v>11835.161290322581</v>
      </c>
      <c r="S6" s="1">
        <f t="shared" si="5"/>
        <v>-2486.0529953917048</v>
      </c>
      <c r="T6" s="1">
        <f t="shared" si="6"/>
        <v>6177.672222222227</v>
      </c>
      <c r="U6" s="1">
        <f t="shared" si="6"/>
        <v>6660.4942652329792</v>
      </c>
      <c r="V6" s="4">
        <f t="shared" si="7"/>
        <v>0.30136623371373999</v>
      </c>
      <c r="W6" s="4">
        <f t="shared" si="7"/>
        <v>0.36011128371345341</v>
      </c>
    </row>
    <row r="7" spans="1:23" x14ac:dyDescent="0.25">
      <c r="A7" s="3" t="s">
        <v>8</v>
      </c>
      <c r="B7" s="14">
        <v>15794</v>
      </c>
      <c r="C7" s="14">
        <v>15772</v>
      </c>
      <c r="D7" s="2">
        <f>Maret!D7/28</f>
        <v>75871509.035714284</v>
      </c>
      <c r="E7" s="2">
        <f>Maret!E7/31</f>
        <v>71774939.225806445</v>
      </c>
      <c r="F7" s="1">
        <f t="shared" si="0"/>
        <v>-4096569.8099078387</v>
      </c>
      <c r="G7" s="4">
        <f t="shared" si="1"/>
        <v>-5.3993519596130593E-2</v>
      </c>
      <c r="H7" s="2">
        <f>Maret!H7/28</f>
        <v>6480.3214285714284</v>
      </c>
      <c r="I7" s="2">
        <f>Maret!I7/31</f>
        <v>5630.677419354839</v>
      </c>
      <c r="J7" s="2">
        <f>Maret!J7/28</f>
        <v>8635.5714285714294</v>
      </c>
      <c r="K7" s="2">
        <f>Maret!K7/31</f>
        <v>7868.9032258064517</v>
      </c>
      <c r="L7" s="4">
        <f t="shared" si="2"/>
        <v>0.91121974855903587</v>
      </c>
      <c r="M7" s="23">
        <f>Maret!M7/28</f>
        <v>12957.607619047618</v>
      </c>
      <c r="N7" s="23">
        <f>Maret!N7/31</f>
        <v>11660.689139784947</v>
      </c>
      <c r="O7" s="1">
        <f t="shared" si="3"/>
        <v>-1296.9184792626711</v>
      </c>
      <c r="P7" s="4">
        <f t="shared" si="4"/>
        <v>-0.10008934653617751</v>
      </c>
      <c r="Q7" s="2">
        <f>Maret!Q7/28</f>
        <v>8635.5714285714294</v>
      </c>
      <c r="R7" s="2">
        <f>Maret!R7/31</f>
        <v>7868.9032258064517</v>
      </c>
      <c r="S7" s="1">
        <f t="shared" si="5"/>
        <v>-766.66820276497765</v>
      </c>
      <c r="T7" s="1">
        <f t="shared" si="6"/>
        <v>4322.0361904761885</v>
      </c>
      <c r="U7" s="1">
        <f t="shared" si="6"/>
        <v>3791.785913978495</v>
      </c>
      <c r="V7" s="4">
        <f t="shared" si="7"/>
        <v>0.33355201959679787</v>
      </c>
      <c r="W7" s="4">
        <f t="shared" si="7"/>
        <v>0.32517682861824626</v>
      </c>
    </row>
    <row r="8" spans="1:23" x14ac:dyDescent="0.25">
      <c r="A8" s="3" t="s">
        <v>7</v>
      </c>
      <c r="B8" s="14">
        <v>6497</v>
      </c>
      <c r="C8" s="14">
        <v>6501</v>
      </c>
      <c r="D8" s="2">
        <f>Maret!D8/28</f>
        <v>25949337.892857142</v>
      </c>
      <c r="E8" s="2">
        <f>Maret!E8/31</f>
        <v>20991142.612903226</v>
      </c>
      <c r="F8" s="1">
        <f t="shared" si="0"/>
        <v>-4958195.2799539156</v>
      </c>
      <c r="G8" s="4">
        <f t="shared" si="1"/>
        <v>-0.19107213064263642</v>
      </c>
      <c r="H8" s="2">
        <f>Maret!H8/28</f>
        <v>3152.25</v>
      </c>
      <c r="I8" s="2">
        <f>Maret!I8/31</f>
        <v>2600.7741935483873</v>
      </c>
      <c r="J8" s="2">
        <f>Maret!J8/28</f>
        <v>3485.9285714285716</v>
      </c>
      <c r="K8" s="2">
        <f>Maret!K8/31</f>
        <v>2847.516129032258</v>
      </c>
      <c r="L8" s="4">
        <f t="shared" si="2"/>
        <v>0.81686014807392193</v>
      </c>
      <c r="M8" s="23">
        <f>Maret!M8/28</f>
        <v>4865.3446428571424</v>
      </c>
      <c r="N8" s="23">
        <f>Maret!N8/31</f>
        <v>5122.1822580645157</v>
      </c>
      <c r="O8" s="1">
        <f>N8-M8</f>
        <v>256.83761520737335</v>
      </c>
      <c r="P8" s="4">
        <f t="shared" si="4"/>
        <v>5.2789192556880637E-2</v>
      </c>
      <c r="Q8" s="2">
        <f>Maret!Q8/28</f>
        <v>3485.9285714285716</v>
      </c>
      <c r="R8" s="2">
        <f>Maret!R8/31</f>
        <v>2847.516129032258</v>
      </c>
      <c r="S8" s="1">
        <f t="shared" si="5"/>
        <v>-638.41244239631351</v>
      </c>
      <c r="T8" s="1">
        <f t="shared" si="6"/>
        <v>1379.4160714285708</v>
      </c>
      <c r="U8" s="1">
        <f t="shared" si="6"/>
        <v>2274.6661290322577</v>
      </c>
      <c r="V8" s="4">
        <f t="shared" si="7"/>
        <v>0.28351867600041536</v>
      </c>
      <c r="W8" s="4">
        <f t="shared" si="7"/>
        <v>0.4440814509188844</v>
      </c>
    </row>
    <row r="9" spans="1:23" ht="16.5" x14ac:dyDescent="0.3">
      <c r="A9" s="16" t="s">
        <v>9</v>
      </c>
      <c r="B9" s="17">
        <f>SUM(B2:B8)</f>
        <v>186860</v>
      </c>
      <c r="C9" s="17">
        <f>SUM(C2:C8)</f>
        <v>187076</v>
      </c>
      <c r="D9" s="17">
        <f>SUM(D2:D8)</f>
        <v>993717451.17857134</v>
      </c>
      <c r="E9" s="17">
        <f>SUM(E2:E8)</f>
        <v>826392912.74193549</v>
      </c>
      <c r="F9" s="10"/>
      <c r="G9" s="11"/>
      <c r="H9" s="17">
        <f>SUM(H2:H8)</f>
        <v>97363.07142857142</v>
      </c>
      <c r="I9" s="17">
        <f>SUM(I2:I8)</f>
        <v>81183.129032258061</v>
      </c>
      <c r="J9" s="17">
        <f>SUM(J2:J8)</f>
        <v>119092.82142857143</v>
      </c>
      <c r="K9" s="17">
        <f>SUM(K2:K8)</f>
        <v>99296.935483870955</v>
      </c>
      <c r="L9" s="9"/>
      <c r="M9" s="18">
        <f>SUM(M2:M8)+4953</f>
        <v>198616.3978571429</v>
      </c>
      <c r="N9" s="18">
        <f>SUM(N2:N8)+12767</f>
        <v>172530.61806451614</v>
      </c>
      <c r="O9" s="8"/>
      <c r="P9" s="8"/>
      <c r="Q9" s="17">
        <f>SUM(Q2:Q8)+2841</f>
        <v>121933.82142857143</v>
      </c>
      <c r="R9" s="17">
        <f>SUM(R2:R8)+2548</f>
        <v>101844.93548387096</v>
      </c>
      <c r="S9" s="10"/>
      <c r="T9" s="17">
        <f>SUM(T2:T8)+2112</f>
        <v>76682.576428571454</v>
      </c>
      <c r="U9" s="17">
        <f>SUM(U2:U8)+10219</f>
        <v>70685.682580645167</v>
      </c>
      <c r="V9" s="20">
        <f>SUM(M9-Q9)/M9</f>
        <v>0.38608381410545106</v>
      </c>
      <c r="W9" s="20">
        <f>SUM(N9-R9)/N9</f>
        <v>0.40969935292420362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0171-601C-4845-9022-02AB2B46A09C}">
  <dimension ref="A1:W9"/>
  <sheetViews>
    <sheetView zoomScale="53" zoomScaleNormal="55" workbookViewId="0">
      <selection activeCell="A10" sqref="A10:XFD28"/>
    </sheetView>
  </sheetViews>
  <sheetFormatPr defaultRowHeight="15.75" x14ac:dyDescent="0.25"/>
  <cols>
    <col min="1" max="1" width="11.125" bestFit="1" customWidth="1"/>
    <col min="2" max="2" width="33" bestFit="1" customWidth="1"/>
    <col min="3" max="3" width="36.875" bestFit="1" customWidth="1"/>
    <col min="4" max="4" width="38.25" bestFit="1" customWidth="1"/>
    <col min="5" max="5" width="34.375" bestFit="1" customWidth="1"/>
    <col min="6" max="6" width="24" bestFit="1" customWidth="1"/>
    <col min="7" max="7" width="27.875" bestFit="1" customWidth="1"/>
    <col min="8" max="8" width="38.25" bestFit="1" customWidth="1"/>
    <col min="9" max="9" width="34.375" bestFit="1" customWidth="1"/>
    <col min="10" max="10" width="38.25" bestFit="1" customWidth="1"/>
    <col min="11" max="11" width="34.375" bestFit="1" customWidth="1"/>
    <col min="12" max="12" width="25.25" bestFit="1" customWidth="1"/>
    <col min="13" max="13" width="38.25" bestFit="1" customWidth="1"/>
    <col min="14" max="14" width="34.375" bestFit="1" customWidth="1"/>
    <col min="15" max="15" width="30.5" bestFit="1" customWidth="1"/>
    <col min="16" max="16" width="44.625" bestFit="1" customWidth="1"/>
    <col min="17" max="17" width="34.375" bestFit="1" customWidth="1"/>
    <col min="18" max="18" width="30.5" bestFit="1" customWidth="1"/>
    <col min="19" max="19" width="25.25" bestFit="1" customWidth="1"/>
    <col min="20" max="20" width="24" bestFit="1" customWidth="1"/>
    <col min="21" max="21" width="20.125" bestFit="1" customWidth="1"/>
    <col min="22" max="22" width="36.875" bestFit="1" customWidth="1"/>
    <col min="23" max="23" width="34.375" bestFit="1" customWidth="1"/>
  </cols>
  <sheetData>
    <row r="1" spans="1:23" x14ac:dyDescent="0.25">
      <c r="A1" s="15" t="s">
        <v>0</v>
      </c>
      <c r="B1" s="15" t="s">
        <v>41</v>
      </c>
      <c r="C1" s="15" t="s">
        <v>42</v>
      </c>
      <c r="D1" s="15" t="s">
        <v>33</v>
      </c>
      <c r="E1" s="15" t="s">
        <v>43</v>
      </c>
      <c r="F1" s="15" t="s">
        <v>11</v>
      </c>
      <c r="G1" s="15" t="s">
        <v>12</v>
      </c>
      <c r="H1" s="15" t="s">
        <v>34</v>
      </c>
      <c r="I1" s="15" t="s">
        <v>44</v>
      </c>
      <c r="J1" s="15" t="s">
        <v>35</v>
      </c>
      <c r="K1" s="15" t="s">
        <v>45</v>
      </c>
      <c r="L1" s="15" t="s">
        <v>19</v>
      </c>
      <c r="M1" s="15" t="s">
        <v>36</v>
      </c>
      <c r="N1" s="15" t="s">
        <v>46</v>
      </c>
      <c r="O1" s="15" t="s">
        <v>22</v>
      </c>
      <c r="P1" s="15" t="s">
        <v>23</v>
      </c>
      <c r="Q1" s="15" t="s">
        <v>37</v>
      </c>
      <c r="R1" s="15" t="s">
        <v>47</v>
      </c>
      <c r="S1" s="15" t="s">
        <v>26</v>
      </c>
      <c r="T1" s="15" t="s">
        <v>38</v>
      </c>
      <c r="U1" s="15" t="s">
        <v>48</v>
      </c>
      <c r="V1" s="15" t="s">
        <v>49</v>
      </c>
      <c r="W1" s="15" t="s">
        <v>50</v>
      </c>
    </row>
    <row r="2" spans="1:23" x14ac:dyDescent="0.25">
      <c r="A2" s="3" t="s">
        <v>2</v>
      </c>
      <c r="B2" s="13">
        <v>46627</v>
      </c>
      <c r="C2" s="13">
        <v>46607</v>
      </c>
      <c r="D2" s="21">
        <v>6983417956</v>
      </c>
      <c r="E2" s="21">
        <v>8094458788</v>
      </c>
      <c r="F2" s="1">
        <f>E2-D2</f>
        <v>1111040832</v>
      </c>
      <c r="G2" s="4">
        <f>F2/D2</f>
        <v>0.15909699791710419</v>
      </c>
      <c r="H2" s="21">
        <v>609136</v>
      </c>
      <c r="I2" s="21">
        <v>730077</v>
      </c>
      <c r="J2" s="21">
        <v>792606</v>
      </c>
      <c r="K2" s="21">
        <v>927222</v>
      </c>
      <c r="L2" s="4">
        <f>K2/J2</f>
        <v>1.1698397438323707</v>
      </c>
      <c r="M2" s="22">
        <v>1267967.6766666668</v>
      </c>
      <c r="N2" s="22">
        <v>1408521.0966666667</v>
      </c>
      <c r="O2" s="1">
        <f>N2-M2</f>
        <v>140553.41999999993</v>
      </c>
      <c r="P2" s="4">
        <f>O2/M2</f>
        <v>0.11084937146781046</v>
      </c>
      <c r="Q2" s="21">
        <v>792606</v>
      </c>
      <c r="R2" s="21">
        <v>927222</v>
      </c>
      <c r="S2" s="1">
        <f>R2-Q2</f>
        <v>134616</v>
      </c>
      <c r="T2" s="1">
        <f>M2-Q2</f>
        <v>475361.67666666675</v>
      </c>
      <c r="U2" s="1">
        <f>N2-R2</f>
        <v>481299.09666666668</v>
      </c>
      <c r="V2" s="4">
        <f>T2/M2</f>
        <v>0.37490046900590945</v>
      </c>
      <c r="W2" s="4">
        <f>U2/N2</f>
        <v>0.34170528067040262</v>
      </c>
    </row>
    <row r="3" spans="1:23" x14ac:dyDescent="0.25">
      <c r="A3" s="3" t="s">
        <v>6</v>
      </c>
      <c r="B3" s="13">
        <v>34985</v>
      </c>
      <c r="C3" s="13">
        <v>35147</v>
      </c>
      <c r="D3" s="21">
        <v>4830758887</v>
      </c>
      <c r="E3" s="21">
        <v>5325961222</v>
      </c>
      <c r="F3" s="1">
        <f t="shared" ref="F3:F8" si="0">E3-D3</f>
        <v>495202335</v>
      </c>
      <c r="G3" s="4">
        <f t="shared" ref="G3:G8" si="1">F3/D3</f>
        <v>0.1025102569976393</v>
      </c>
      <c r="H3" s="21">
        <v>423647</v>
      </c>
      <c r="I3" s="21">
        <v>495364</v>
      </c>
      <c r="J3" s="21">
        <v>542455</v>
      </c>
      <c r="K3" s="21">
        <v>612461</v>
      </c>
      <c r="L3" s="4">
        <f t="shared" ref="L3:L8" si="2">K3/J3</f>
        <v>1.1290540229143431</v>
      </c>
      <c r="M3" s="22">
        <v>891487.04</v>
      </c>
      <c r="N3" s="22">
        <v>965826.62399999984</v>
      </c>
      <c r="O3" s="1">
        <f t="shared" ref="O3:O7" si="3">N3-M3</f>
        <v>74339.583999999799</v>
      </c>
      <c r="P3" s="4">
        <f t="shared" ref="P3:P8" si="4">O3/M3</f>
        <v>8.3388294685697056E-2</v>
      </c>
      <c r="Q3" s="21">
        <v>542455</v>
      </c>
      <c r="R3" s="21">
        <v>612461</v>
      </c>
      <c r="S3" s="1">
        <f t="shared" ref="S3:S8" si="5">R3-Q3</f>
        <v>70006</v>
      </c>
      <c r="T3" s="1">
        <f t="shared" ref="T3:U8" si="6">M3-Q3</f>
        <v>349032.04000000004</v>
      </c>
      <c r="U3" s="1">
        <f t="shared" si="6"/>
        <v>353365.62399999984</v>
      </c>
      <c r="V3" s="4">
        <f t="shared" ref="V3:W8" si="7">T3/M3</f>
        <v>0.39151667308590377</v>
      </c>
      <c r="W3" s="4">
        <f t="shared" si="7"/>
        <v>0.36586858885347923</v>
      </c>
    </row>
    <row r="4" spans="1:23" x14ac:dyDescent="0.25">
      <c r="A4" s="3" t="s">
        <v>5</v>
      </c>
      <c r="B4" s="13">
        <v>33791</v>
      </c>
      <c r="C4" s="13">
        <v>33788</v>
      </c>
      <c r="D4" s="21">
        <v>4287192017</v>
      </c>
      <c r="E4" s="21">
        <v>4953941466</v>
      </c>
      <c r="F4" s="1">
        <f t="shared" si="0"/>
        <v>666749449</v>
      </c>
      <c r="G4" s="4">
        <f t="shared" si="1"/>
        <v>0.1555212470904356</v>
      </c>
      <c r="H4" s="21">
        <v>526218</v>
      </c>
      <c r="I4" s="21">
        <v>613680</v>
      </c>
      <c r="J4" s="21">
        <v>591222</v>
      </c>
      <c r="K4" s="21">
        <v>680245</v>
      </c>
      <c r="L4" s="4">
        <f t="shared" si="2"/>
        <v>1.150574572664752</v>
      </c>
      <c r="M4" s="22">
        <v>971630.32999999984</v>
      </c>
      <c r="N4" s="22">
        <v>1092523.3160000001</v>
      </c>
      <c r="O4" s="1">
        <f t="shared" si="3"/>
        <v>120892.98600000027</v>
      </c>
      <c r="P4" s="4">
        <f t="shared" si="4"/>
        <v>0.12442282035391</v>
      </c>
      <c r="Q4" s="21">
        <v>591222</v>
      </c>
      <c r="R4" s="21">
        <v>680245</v>
      </c>
      <c r="S4" s="1">
        <f t="shared" si="5"/>
        <v>89023</v>
      </c>
      <c r="T4" s="1">
        <f t="shared" si="6"/>
        <v>380408.32999999984</v>
      </c>
      <c r="U4" s="1">
        <f t="shared" si="6"/>
        <v>412278.31600000011</v>
      </c>
      <c r="V4" s="4">
        <f t="shared" si="7"/>
        <v>0.39151549540451241</v>
      </c>
      <c r="W4" s="4">
        <f t="shared" si="7"/>
        <v>0.37736340264979762</v>
      </c>
    </row>
    <row r="5" spans="1:23" x14ac:dyDescent="0.25">
      <c r="A5" s="3" t="s">
        <v>3</v>
      </c>
      <c r="B5" s="13">
        <v>28175</v>
      </c>
      <c r="C5" s="13">
        <v>28186</v>
      </c>
      <c r="D5" s="21">
        <v>3725166353</v>
      </c>
      <c r="E5" s="21">
        <v>4211219746</v>
      </c>
      <c r="F5" s="1">
        <f t="shared" si="0"/>
        <v>486053393</v>
      </c>
      <c r="G5" s="4">
        <f t="shared" si="1"/>
        <v>0.13047830538052752</v>
      </c>
      <c r="H5" s="21">
        <v>381723</v>
      </c>
      <c r="I5" s="21">
        <v>429672</v>
      </c>
      <c r="J5" s="21">
        <v>452823</v>
      </c>
      <c r="K5" s="21">
        <v>508741</v>
      </c>
      <c r="L5" s="4">
        <f t="shared" si="2"/>
        <v>1.1234875436980896</v>
      </c>
      <c r="M5" s="22">
        <v>727952.77777777775</v>
      </c>
      <c r="N5" s="22">
        <v>760428.77777777775</v>
      </c>
      <c r="O5" s="1">
        <f t="shared" si="3"/>
        <v>32476</v>
      </c>
      <c r="P5" s="4">
        <f t="shared" si="4"/>
        <v>4.4612783948897783E-2</v>
      </c>
      <c r="Q5" s="21">
        <v>452823</v>
      </c>
      <c r="R5" s="21">
        <v>508741</v>
      </c>
      <c r="S5" s="1">
        <f t="shared" si="5"/>
        <v>55918</v>
      </c>
      <c r="T5" s="1">
        <f t="shared" si="6"/>
        <v>275129.77777777775</v>
      </c>
      <c r="U5" s="1">
        <f t="shared" si="6"/>
        <v>251687.77777777775</v>
      </c>
      <c r="V5" s="4">
        <f t="shared" si="7"/>
        <v>0.37795003491526846</v>
      </c>
      <c r="W5" s="4">
        <f t="shared" si="7"/>
        <v>0.33098139514563346</v>
      </c>
    </row>
    <row r="6" spans="1:23" x14ac:dyDescent="0.25">
      <c r="A6" s="3" t="s">
        <v>4</v>
      </c>
      <c r="B6" s="13">
        <v>21225</v>
      </c>
      <c r="C6" s="13">
        <v>21221</v>
      </c>
      <c r="D6" s="21">
        <v>2915896545</v>
      </c>
      <c r="E6" s="21">
        <v>3282380791</v>
      </c>
      <c r="F6" s="1">
        <f t="shared" si="0"/>
        <v>366484246</v>
      </c>
      <c r="G6" s="4">
        <f t="shared" si="1"/>
        <v>0.12568492754944433</v>
      </c>
      <c r="H6" s="21">
        <v>320778</v>
      </c>
      <c r="I6" s="21">
        <v>359714</v>
      </c>
      <c r="J6" s="21">
        <v>366890</v>
      </c>
      <c r="K6" s="21">
        <v>410565</v>
      </c>
      <c r="L6" s="4">
        <f t="shared" si="2"/>
        <v>1.1190411294938538</v>
      </c>
      <c r="M6" s="22">
        <v>573365.32222222234</v>
      </c>
      <c r="N6" s="22">
        <v>560088.74222222227</v>
      </c>
      <c r="O6" s="1">
        <f t="shared" si="3"/>
        <v>-13276.580000000075</v>
      </c>
      <c r="P6" s="4">
        <f t="shared" si="4"/>
        <v>-2.31555336282692E-2</v>
      </c>
      <c r="Q6" s="21">
        <v>366890</v>
      </c>
      <c r="R6" s="21">
        <v>410565</v>
      </c>
      <c r="S6" s="1">
        <f t="shared" si="5"/>
        <v>43675</v>
      </c>
      <c r="T6" s="1">
        <f t="shared" si="6"/>
        <v>206475.32222222234</v>
      </c>
      <c r="U6" s="1">
        <f t="shared" si="6"/>
        <v>149523.74222222227</v>
      </c>
      <c r="V6" s="4">
        <f t="shared" si="7"/>
        <v>0.36011128371345341</v>
      </c>
      <c r="W6" s="4">
        <f t="shared" si="7"/>
        <v>0.26696437716096216</v>
      </c>
    </row>
    <row r="7" spans="1:23" x14ac:dyDescent="0.25">
      <c r="A7" s="3" t="s">
        <v>8</v>
      </c>
      <c r="B7" s="13">
        <v>15772</v>
      </c>
      <c r="C7" s="13">
        <v>15754</v>
      </c>
      <c r="D7" s="21">
        <v>2225023116</v>
      </c>
      <c r="E7" s="21">
        <v>2350518561</v>
      </c>
      <c r="F7" s="1">
        <f t="shared" si="0"/>
        <v>125495445</v>
      </c>
      <c r="G7" s="4">
        <f t="shared" si="1"/>
        <v>5.6401861220034176E-2</v>
      </c>
      <c r="H7" s="21">
        <v>174551</v>
      </c>
      <c r="I7" s="21">
        <v>218148</v>
      </c>
      <c r="J7" s="21">
        <v>243936</v>
      </c>
      <c r="K7" s="21">
        <v>274487</v>
      </c>
      <c r="L7" s="4">
        <f t="shared" si="2"/>
        <v>1.1252418667191395</v>
      </c>
      <c r="M7" s="22">
        <v>361481.36333333334</v>
      </c>
      <c r="N7" s="22">
        <v>456318.14333333325</v>
      </c>
      <c r="O7" s="1">
        <f t="shared" si="3"/>
        <v>94836.779999999912</v>
      </c>
      <c r="P7" s="4">
        <f t="shared" si="4"/>
        <v>0.26235593206100621</v>
      </c>
      <c r="Q7" s="21">
        <v>243936</v>
      </c>
      <c r="R7" s="21">
        <v>274487</v>
      </c>
      <c r="S7" s="1">
        <f t="shared" si="5"/>
        <v>30551</v>
      </c>
      <c r="T7" s="1">
        <f t="shared" si="6"/>
        <v>117545.36333333334</v>
      </c>
      <c r="U7" s="1">
        <f t="shared" si="6"/>
        <v>181831.14333333325</v>
      </c>
      <c r="V7" s="4">
        <f t="shared" si="7"/>
        <v>0.32517682861824626</v>
      </c>
      <c r="W7" s="4">
        <f t="shared" si="7"/>
        <v>0.39847449852658706</v>
      </c>
    </row>
    <row r="8" spans="1:23" x14ac:dyDescent="0.25">
      <c r="A8" s="3" t="s">
        <v>7</v>
      </c>
      <c r="B8" s="13">
        <v>6501</v>
      </c>
      <c r="C8" s="13">
        <v>6496</v>
      </c>
      <c r="D8" s="21">
        <v>650725421</v>
      </c>
      <c r="E8" s="21">
        <v>774162276</v>
      </c>
      <c r="F8" s="1">
        <f t="shared" si="0"/>
        <v>123436855</v>
      </c>
      <c r="G8" s="4">
        <f t="shared" si="1"/>
        <v>0.18969115239160145</v>
      </c>
      <c r="H8" s="21">
        <v>80624</v>
      </c>
      <c r="I8" s="21">
        <v>94991</v>
      </c>
      <c r="J8" s="21">
        <v>88273</v>
      </c>
      <c r="K8" s="21">
        <v>104568</v>
      </c>
      <c r="L8" s="4">
        <f t="shared" si="2"/>
        <v>1.1845977818812095</v>
      </c>
      <c r="M8" s="22">
        <v>158787.65</v>
      </c>
      <c r="N8" s="22">
        <v>183413.40999999997</v>
      </c>
      <c r="O8" s="1">
        <f>N8-M8</f>
        <v>24625.75999999998</v>
      </c>
      <c r="P8" s="4">
        <f t="shared" si="4"/>
        <v>0.15508611658400373</v>
      </c>
      <c r="Q8" s="21">
        <v>88273</v>
      </c>
      <c r="R8" s="21">
        <v>104568</v>
      </c>
      <c r="S8" s="1">
        <f t="shared" si="5"/>
        <v>16295</v>
      </c>
      <c r="T8" s="1">
        <f t="shared" si="6"/>
        <v>70514.649999999994</v>
      </c>
      <c r="U8" s="1">
        <f t="shared" si="6"/>
        <v>78845.409999999974</v>
      </c>
      <c r="V8" s="4">
        <f t="shared" si="7"/>
        <v>0.4440814509188844</v>
      </c>
      <c r="W8" s="4">
        <f t="shared" si="7"/>
        <v>0.42987810978488422</v>
      </c>
    </row>
    <row r="9" spans="1:23" ht="16.5" x14ac:dyDescent="0.3">
      <c r="A9" s="16" t="s">
        <v>9</v>
      </c>
      <c r="B9" s="17">
        <f>SUM(B2:B8)</f>
        <v>187076</v>
      </c>
      <c r="C9" s="17">
        <f>SUM(C2:C8)</f>
        <v>187199</v>
      </c>
      <c r="D9" s="17">
        <f>SUM(D2:D8)</f>
        <v>25618180295</v>
      </c>
      <c r="E9" s="17">
        <f>SUM(E2:E8)</f>
        <v>28992642850</v>
      </c>
      <c r="F9" s="10"/>
      <c r="G9" s="11"/>
      <c r="H9" s="17">
        <f>SUM(H2:H8)</f>
        <v>2516677</v>
      </c>
      <c r="I9" s="17">
        <f>SUM(I2:I8)</f>
        <v>2941646</v>
      </c>
      <c r="J9" s="17">
        <f>SUM(J2:J8)</f>
        <v>3078205</v>
      </c>
      <c r="K9" s="17">
        <f>SUM(K2:K8)</f>
        <v>3518289</v>
      </c>
      <c r="L9" s="9"/>
      <c r="M9" s="18">
        <f>SUM(M2:M8)+12767</f>
        <v>4965439.1600000011</v>
      </c>
      <c r="N9" s="18">
        <f>SUM(N2:N8)+12133</f>
        <v>5439253.1100000003</v>
      </c>
      <c r="O9" s="8"/>
      <c r="P9" s="8"/>
      <c r="Q9" s="17">
        <f>SUM(Q2:Q8)+2548</f>
        <v>3080753</v>
      </c>
      <c r="R9" s="17">
        <f>SUM(R2:R8)+2542</f>
        <v>3520831</v>
      </c>
      <c r="S9" s="10"/>
      <c r="T9" s="17">
        <f>SUM(T2:T8)+10219</f>
        <v>1884686.16</v>
      </c>
      <c r="U9" s="17">
        <f>SUM(U2:U8)+9591</f>
        <v>1918422.1099999999</v>
      </c>
      <c r="V9" s="20">
        <f>SUM(M9-Q9)/M9</f>
        <v>0.37956082015513021</v>
      </c>
      <c r="W9" s="20">
        <f>SUM(N9-R9)/N9</f>
        <v>0.35269954738326198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1E4D-A407-4340-81BC-F8E5885F445E}">
  <dimension ref="A1:W9"/>
  <sheetViews>
    <sheetView zoomScale="73" workbookViewId="0">
      <selection activeCell="A10" sqref="A10:XFD26"/>
    </sheetView>
  </sheetViews>
  <sheetFormatPr defaultRowHeight="15.75" x14ac:dyDescent="0.25"/>
  <cols>
    <col min="1" max="1" width="11.125" bestFit="1" customWidth="1"/>
    <col min="2" max="2" width="33" bestFit="1" customWidth="1"/>
    <col min="3" max="3" width="36.875" bestFit="1" customWidth="1"/>
    <col min="4" max="4" width="38.25" bestFit="1" customWidth="1"/>
    <col min="5" max="5" width="34.375" bestFit="1" customWidth="1"/>
    <col min="6" max="6" width="24" bestFit="1" customWidth="1"/>
    <col min="7" max="7" width="27.875" bestFit="1" customWidth="1"/>
    <col min="8" max="8" width="38.25" bestFit="1" customWidth="1"/>
    <col min="9" max="9" width="34.375" bestFit="1" customWidth="1"/>
    <col min="10" max="10" width="38.25" bestFit="1" customWidth="1"/>
    <col min="11" max="11" width="34.375" bestFit="1" customWidth="1"/>
    <col min="12" max="12" width="25.25" bestFit="1" customWidth="1"/>
    <col min="13" max="13" width="38.25" bestFit="1" customWidth="1"/>
    <col min="14" max="14" width="34.375" bestFit="1" customWidth="1"/>
    <col min="15" max="15" width="30.5" bestFit="1" customWidth="1"/>
    <col min="16" max="16" width="44.625" bestFit="1" customWidth="1"/>
    <col min="17" max="17" width="34.375" bestFit="1" customWidth="1"/>
    <col min="18" max="18" width="30.5" bestFit="1" customWidth="1"/>
    <col min="19" max="19" width="25.25" bestFit="1" customWidth="1"/>
    <col min="20" max="20" width="24" bestFit="1" customWidth="1"/>
    <col min="21" max="21" width="20.125" bestFit="1" customWidth="1"/>
    <col min="22" max="22" width="36.875" bestFit="1" customWidth="1"/>
    <col min="23" max="23" width="34.375" bestFit="1" customWidth="1"/>
  </cols>
  <sheetData>
    <row r="1" spans="1:23" x14ac:dyDescent="0.25">
      <c r="A1" s="15" t="s">
        <v>0</v>
      </c>
      <c r="B1" s="15" t="s">
        <v>41</v>
      </c>
      <c r="C1" s="15" t="s">
        <v>42</v>
      </c>
      <c r="D1" s="15" t="s">
        <v>33</v>
      </c>
      <c r="E1" s="15" t="s">
        <v>43</v>
      </c>
      <c r="F1" s="15" t="s">
        <v>11</v>
      </c>
      <c r="G1" s="15" t="s">
        <v>12</v>
      </c>
      <c r="H1" s="15" t="s">
        <v>34</v>
      </c>
      <c r="I1" s="15" t="s">
        <v>44</v>
      </c>
      <c r="J1" s="15" t="s">
        <v>35</v>
      </c>
      <c r="K1" s="15" t="s">
        <v>45</v>
      </c>
      <c r="L1" s="15" t="s">
        <v>19</v>
      </c>
      <c r="M1" s="15" t="s">
        <v>36</v>
      </c>
      <c r="N1" s="15" t="s">
        <v>46</v>
      </c>
      <c r="O1" s="15" t="s">
        <v>22</v>
      </c>
      <c r="P1" s="15" t="s">
        <v>23</v>
      </c>
      <c r="Q1" s="15" t="s">
        <v>37</v>
      </c>
      <c r="R1" s="15" t="s">
        <v>47</v>
      </c>
      <c r="S1" s="15" t="s">
        <v>26</v>
      </c>
      <c r="T1" s="15" t="s">
        <v>38</v>
      </c>
      <c r="U1" s="15" t="s">
        <v>48</v>
      </c>
      <c r="V1" s="15" t="s">
        <v>49</v>
      </c>
      <c r="W1" s="15" t="s">
        <v>50</v>
      </c>
    </row>
    <row r="2" spans="1:23" x14ac:dyDescent="0.25">
      <c r="A2" s="3" t="s">
        <v>2</v>
      </c>
      <c r="B2" s="13">
        <v>46627</v>
      </c>
      <c r="C2" s="13">
        <v>46607</v>
      </c>
      <c r="D2" s="21">
        <f>April!D2/31</f>
        <v>225271546.96774194</v>
      </c>
      <c r="E2" s="21">
        <f>April!E2/30</f>
        <v>269815292.93333334</v>
      </c>
      <c r="F2" s="1">
        <f>E2-D2</f>
        <v>44543745.965591401</v>
      </c>
      <c r="G2" s="4">
        <f>F2/D2</f>
        <v>0.19773356451434101</v>
      </c>
      <c r="H2" s="21">
        <f>April!H2/31</f>
        <v>19649.548387096773</v>
      </c>
      <c r="I2" s="21">
        <f>April!I2/30</f>
        <v>24335.9</v>
      </c>
      <c r="J2" s="21">
        <f>April!J2/31</f>
        <v>25567.935483870966</v>
      </c>
      <c r="K2" s="21">
        <f>April!K2/30</f>
        <v>30907.4</v>
      </c>
      <c r="L2" s="4">
        <f>K2/J2</f>
        <v>1.2088344019601165</v>
      </c>
      <c r="M2" s="22">
        <f>April!M2/31</f>
        <v>40902.183118279572</v>
      </c>
      <c r="N2" s="22">
        <f>April!N2/30</f>
        <v>46950.703222222226</v>
      </c>
      <c r="O2" s="1">
        <f>N2-M2</f>
        <v>6048.5201039426538</v>
      </c>
      <c r="P2" s="4">
        <f>O2/M2</f>
        <v>0.14787768385007091</v>
      </c>
      <c r="Q2" s="21">
        <f>April!Q2/31</f>
        <v>25567.935483870966</v>
      </c>
      <c r="R2" s="21">
        <f>April!R2/30</f>
        <v>30907.4</v>
      </c>
      <c r="S2" s="1">
        <f>R2-Q2</f>
        <v>5339.4645161290355</v>
      </c>
      <c r="T2" s="1">
        <f>M2-Q2</f>
        <v>15334.247634408606</v>
      </c>
      <c r="U2" s="1">
        <f>N2-R2</f>
        <v>16043.303222222225</v>
      </c>
      <c r="V2" s="4">
        <f>T2/M2</f>
        <v>0.37490046900590951</v>
      </c>
      <c r="W2" s="4">
        <f>U2/N2</f>
        <v>0.34170528067040268</v>
      </c>
    </row>
    <row r="3" spans="1:23" x14ac:dyDescent="0.25">
      <c r="A3" s="3" t="s">
        <v>6</v>
      </c>
      <c r="B3" s="13">
        <v>34985</v>
      </c>
      <c r="C3" s="13">
        <v>35147</v>
      </c>
      <c r="D3" s="21">
        <f>April!D3/31</f>
        <v>155830931.83870968</v>
      </c>
      <c r="E3" s="21">
        <f>April!E3/30</f>
        <v>177532040.73333332</v>
      </c>
      <c r="F3" s="1">
        <f t="shared" ref="F3:F8" si="0">E3-D3</f>
        <v>21701108.894623637</v>
      </c>
      <c r="G3" s="4">
        <f t="shared" ref="G3:G8" si="1">F3/D3</f>
        <v>0.13926059889756048</v>
      </c>
      <c r="H3" s="21">
        <f>April!H3/31</f>
        <v>13666.032258064517</v>
      </c>
      <c r="I3" s="21">
        <f>April!I3/30</f>
        <v>16512.133333333335</v>
      </c>
      <c r="J3" s="21">
        <f>April!J3/31</f>
        <v>17498.548387096773</v>
      </c>
      <c r="K3" s="21">
        <f>April!K3/30</f>
        <v>20415.366666666665</v>
      </c>
      <c r="L3" s="4">
        <f t="shared" ref="L3:L8" si="2">K3/J3</f>
        <v>1.1666891570114879</v>
      </c>
      <c r="M3" s="22">
        <f>April!M3/31</f>
        <v>28757.646451612905</v>
      </c>
      <c r="N3" s="22">
        <f>April!N3/30</f>
        <v>32194.220799999996</v>
      </c>
      <c r="O3" s="1">
        <f t="shared" ref="O3:O7" si="3">N3-M3</f>
        <v>3436.5743483870901</v>
      </c>
      <c r="P3" s="4">
        <f t="shared" ref="P3:P8" si="4">O3/M3</f>
        <v>0.11950123784188695</v>
      </c>
      <c r="Q3" s="21">
        <f>April!Q3/31</f>
        <v>17498.548387096773</v>
      </c>
      <c r="R3" s="21">
        <f>April!R3/30</f>
        <v>20415.366666666665</v>
      </c>
      <c r="S3" s="1">
        <f t="shared" ref="S3:S8" si="5">R3-Q3</f>
        <v>2916.8182795698922</v>
      </c>
      <c r="T3" s="1">
        <f t="shared" ref="T3:U8" si="6">M3-Q3</f>
        <v>11259.098064516133</v>
      </c>
      <c r="U3" s="1">
        <f t="shared" si="6"/>
        <v>11778.854133333331</v>
      </c>
      <c r="V3" s="4">
        <f t="shared" ref="V3:W8" si="7">T3/M3</f>
        <v>0.39151667308590382</v>
      </c>
      <c r="W3" s="4">
        <f t="shared" si="7"/>
        <v>0.36586858885347934</v>
      </c>
    </row>
    <row r="4" spans="1:23" x14ac:dyDescent="0.25">
      <c r="A4" s="3" t="s">
        <v>5</v>
      </c>
      <c r="B4" s="13">
        <v>33791</v>
      </c>
      <c r="C4" s="13">
        <v>33788</v>
      </c>
      <c r="D4" s="21">
        <f>April!D4/31</f>
        <v>138296516.67741936</v>
      </c>
      <c r="E4" s="21">
        <f>April!E4/30</f>
        <v>165131382.19999999</v>
      </c>
      <c r="F4" s="1">
        <f t="shared" si="0"/>
        <v>26834865.522580624</v>
      </c>
      <c r="G4" s="4">
        <f t="shared" si="1"/>
        <v>0.19403862199344996</v>
      </c>
      <c r="H4" s="21">
        <f>April!H4/31</f>
        <v>16974.774193548386</v>
      </c>
      <c r="I4" s="21">
        <f>April!I4/30</f>
        <v>20456</v>
      </c>
      <c r="J4" s="21">
        <f>April!J4/31</f>
        <v>19071.677419354837</v>
      </c>
      <c r="K4" s="21">
        <f>April!K4/30</f>
        <v>22674.833333333332</v>
      </c>
      <c r="L4" s="4">
        <f t="shared" si="2"/>
        <v>1.1889270584202438</v>
      </c>
      <c r="M4" s="22">
        <f>April!M4/31</f>
        <v>31342.913870967735</v>
      </c>
      <c r="N4" s="22">
        <f>April!N4/30</f>
        <v>36417.443866666668</v>
      </c>
      <c r="O4" s="1">
        <f t="shared" si="3"/>
        <v>5074.5299956989329</v>
      </c>
      <c r="P4" s="4">
        <f t="shared" si="4"/>
        <v>0.16190358103237365</v>
      </c>
      <c r="Q4" s="21">
        <f>April!Q4/31</f>
        <v>19071.677419354837</v>
      </c>
      <c r="R4" s="21">
        <f>April!R4/30</f>
        <v>22674.833333333332</v>
      </c>
      <c r="S4" s="1">
        <f t="shared" si="5"/>
        <v>3603.1559139784949</v>
      </c>
      <c r="T4" s="1">
        <f t="shared" si="6"/>
        <v>12271.236451612898</v>
      </c>
      <c r="U4" s="1">
        <f t="shared" si="6"/>
        <v>13742.610533333336</v>
      </c>
      <c r="V4" s="4">
        <f t="shared" si="7"/>
        <v>0.39151549540451247</v>
      </c>
      <c r="W4" s="4">
        <f t="shared" si="7"/>
        <v>0.37736340264979762</v>
      </c>
    </row>
    <row r="5" spans="1:23" x14ac:dyDescent="0.25">
      <c r="A5" s="3" t="s">
        <v>3</v>
      </c>
      <c r="B5" s="13">
        <v>28175</v>
      </c>
      <c r="C5" s="13">
        <v>28186</v>
      </c>
      <c r="D5" s="21">
        <f>April!D5/31</f>
        <v>120166656.5483871</v>
      </c>
      <c r="E5" s="21">
        <f>April!E5/30</f>
        <v>140373991.53333333</v>
      </c>
      <c r="F5" s="1">
        <f t="shared" si="0"/>
        <v>20207334.984946236</v>
      </c>
      <c r="G5" s="4">
        <f t="shared" si="1"/>
        <v>0.16816091555987844</v>
      </c>
      <c r="H5" s="21">
        <f>April!H5/31</f>
        <v>12313.645161290322</v>
      </c>
      <c r="I5" s="21">
        <f>April!I5/30</f>
        <v>14322.4</v>
      </c>
      <c r="J5" s="21">
        <f>April!J5/31</f>
        <v>14607.193548387097</v>
      </c>
      <c r="K5" s="21">
        <f>April!K5/30</f>
        <v>16958.033333333333</v>
      </c>
      <c r="L5" s="4">
        <f t="shared" si="2"/>
        <v>1.1609371284880259</v>
      </c>
      <c r="M5" s="22">
        <f>April!M5/31</f>
        <v>23482.347670250896</v>
      </c>
      <c r="N5" s="22">
        <f>April!N5/30</f>
        <v>25347.625925925924</v>
      </c>
      <c r="O5" s="1">
        <f t="shared" si="3"/>
        <v>1865.278255675028</v>
      </c>
      <c r="P5" s="4">
        <f t="shared" si="4"/>
        <v>7.943321008052763E-2</v>
      </c>
      <c r="Q5" s="21">
        <f>April!Q5/31</f>
        <v>14607.193548387097</v>
      </c>
      <c r="R5" s="21">
        <f>April!R5/30</f>
        <v>16958.033333333333</v>
      </c>
      <c r="S5" s="1">
        <f t="shared" si="5"/>
        <v>2350.8397849462363</v>
      </c>
      <c r="T5" s="1">
        <f t="shared" si="6"/>
        <v>8875.1541218637994</v>
      </c>
      <c r="U5" s="1">
        <f t="shared" si="6"/>
        <v>8389.5925925925912</v>
      </c>
      <c r="V5" s="4">
        <f t="shared" si="7"/>
        <v>0.37795003491526846</v>
      </c>
      <c r="W5" s="4">
        <f t="shared" si="7"/>
        <v>0.33098139514563346</v>
      </c>
    </row>
    <row r="6" spans="1:23" x14ac:dyDescent="0.25">
      <c r="A6" s="3" t="s">
        <v>4</v>
      </c>
      <c r="B6" s="13">
        <v>21225</v>
      </c>
      <c r="C6" s="13">
        <v>21221</v>
      </c>
      <c r="D6" s="21">
        <f>April!D6/31</f>
        <v>94061178.870967746</v>
      </c>
      <c r="E6" s="21">
        <f>April!E6/30</f>
        <v>109412693.03333333</v>
      </c>
      <c r="F6" s="1">
        <f t="shared" si="0"/>
        <v>15351514.162365586</v>
      </c>
      <c r="G6" s="4">
        <f t="shared" si="1"/>
        <v>0.16320775846775906</v>
      </c>
      <c r="H6" s="21">
        <f>April!H6/31</f>
        <v>10347.677419354839</v>
      </c>
      <c r="I6" s="21">
        <f>April!I6/30</f>
        <v>11990.466666666667</v>
      </c>
      <c r="J6" s="21">
        <f>April!J6/31</f>
        <v>11835.161290322581</v>
      </c>
      <c r="K6" s="21">
        <f>April!K6/30</f>
        <v>13685.5</v>
      </c>
      <c r="L6" s="4">
        <f t="shared" si="2"/>
        <v>1.1563425004769821</v>
      </c>
      <c r="M6" s="22">
        <f>April!M6/31</f>
        <v>18495.655555555561</v>
      </c>
      <c r="N6" s="22">
        <f>April!N6/30</f>
        <v>18669.624740740743</v>
      </c>
      <c r="O6" s="1">
        <f t="shared" si="3"/>
        <v>173.96918518518214</v>
      </c>
      <c r="P6" s="4">
        <f t="shared" si="4"/>
        <v>9.4059485841217899E-3</v>
      </c>
      <c r="Q6" s="21">
        <f>April!Q6/31</f>
        <v>11835.161290322581</v>
      </c>
      <c r="R6" s="21">
        <f>April!R6/30</f>
        <v>13685.5</v>
      </c>
      <c r="S6" s="1">
        <f t="shared" si="5"/>
        <v>1850.3387096774186</v>
      </c>
      <c r="T6" s="1">
        <f t="shared" si="6"/>
        <v>6660.4942652329792</v>
      </c>
      <c r="U6" s="1">
        <f t="shared" si="6"/>
        <v>4984.1247407407427</v>
      </c>
      <c r="V6" s="4">
        <f t="shared" si="7"/>
        <v>0.36011128371345341</v>
      </c>
      <c r="W6" s="4">
        <f t="shared" si="7"/>
        <v>0.26696437716096222</v>
      </c>
    </row>
    <row r="7" spans="1:23" x14ac:dyDescent="0.25">
      <c r="A7" s="3" t="s">
        <v>8</v>
      </c>
      <c r="B7" s="13">
        <v>15772</v>
      </c>
      <c r="C7" s="13">
        <v>15754</v>
      </c>
      <c r="D7" s="21">
        <f>April!D7/31</f>
        <v>71774939.225806445</v>
      </c>
      <c r="E7" s="21">
        <f>April!E7/30</f>
        <v>78350618.700000003</v>
      </c>
      <c r="F7" s="1">
        <f t="shared" si="0"/>
        <v>6575679.4741935581</v>
      </c>
      <c r="G7" s="4">
        <f t="shared" si="1"/>
        <v>9.1615256594035452E-2</v>
      </c>
      <c r="H7" s="21">
        <f>April!H7/31</f>
        <v>5630.677419354839</v>
      </c>
      <c r="I7" s="21">
        <f>April!I7/30</f>
        <v>7271.6</v>
      </c>
      <c r="J7" s="21">
        <f>April!J7/31</f>
        <v>7868.9032258064517</v>
      </c>
      <c r="K7" s="21">
        <f>April!K7/30</f>
        <v>9149.5666666666675</v>
      </c>
      <c r="L7" s="4">
        <f t="shared" si="2"/>
        <v>1.1627499289431109</v>
      </c>
      <c r="M7" s="22">
        <f>April!M7/31</f>
        <v>11660.689139784947</v>
      </c>
      <c r="N7" s="22">
        <f>April!N7/30</f>
        <v>15210.604777777775</v>
      </c>
      <c r="O7" s="1">
        <f t="shared" si="3"/>
        <v>3549.9156379928281</v>
      </c>
      <c r="P7" s="4">
        <f t="shared" si="4"/>
        <v>0.3044344631297064</v>
      </c>
      <c r="Q7" s="21">
        <f>April!Q7/31</f>
        <v>7868.9032258064517</v>
      </c>
      <c r="R7" s="21">
        <f>April!R7/30</f>
        <v>9149.5666666666675</v>
      </c>
      <c r="S7" s="1">
        <f t="shared" si="5"/>
        <v>1280.6634408602158</v>
      </c>
      <c r="T7" s="1">
        <f t="shared" si="6"/>
        <v>3791.785913978495</v>
      </c>
      <c r="U7" s="1">
        <f t="shared" si="6"/>
        <v>6061.0381111111074</v>
      </c>
      <c r="V7" s="4">
        <f t="shared" si="7"/>
        <v>0.32517682861824626</v>
      </c>
      <c r="W7" s="4">
        <f t="shared" si="7"/>
        <v>0.39847449852658701</v>
      </c>
    </row>
    <row r="8" spans="1:23" x14ac:dyDescent="0.25">
      <c r="A8" s="3" t="s">
        <v>7</v>
      </c>
      <c r="B8" s="13">
        <v>6501</v>
      </c>
      <c r="C8" s="13">
        <v>6496</v>
      </c>
      <c r="D8" s="21">
        <f>April!D8/31</f>
        <v>20991142.612903226</v>
      </c>
      <c r="E8" s="21">
        <f>April!E8/30</f>
        <v>25805409.199999999</v>
      </c>
      <c r="F8" s="1">
        <f t="shared" si="0"/>
        <v>4814266.5870967731</v>
      </c>
      <c r="G8" s="4">
        <f t="shared" si="1"/>
        <v>0.22934752413798809</v>
      </c>
      <c r="H8" s="21">
        <f>April!H8/31</f>
        <v>2600.7741935483873</v>
      </c>
      <c r="I8" s="21">
        <f>April!I8/30</f>
        <v>3166.3666666666668</v>
      </c>
      <c r="J8" s="21">
        <f>April!J8/31</f>
        <v>2847.516129032258</v>
      </c>
      <c r="K8" s="21">
        <f>April!K8/30</f>
        <v>3485.6</v>
      </c>
      <c r="L8" s="4">
        <f t="shared" si="2"/>
        <v>1.2240843746105829</v>
      </c>
      <c r="M8" s="22">
        <f>April!M8/31</f>
        <v>5122.1822580645157</v>
      </c>
      <c r="N8" s="22">
        <f>April!N8/30</f>
        <v>6113.7803333333322</v>
      </c>
      <c r="O8" s="1">
        <f>N8-M8</f>
        <v>991.5980752688165</v>
      </c>
      <c r="P8" s="4">
        <f t="shared" si="4"/>
        <v>0.19358898713680386</v>
      </c>
      <c r="Q8" s="21">
        <f>April!Q8/31</f>
        <v>2847.516129032258</v>
      </c>
      <c r="R8" s="21">
        <f>April!R8/30</f>
        <v>3485.6</v>
      </c>
      <c r="S8" s="1">
        <f t="shared" si="5"/>
        <v>638.08387096774186</v>
      </c>
      <c r="T8" s="1">
        <f t="shared" si="6"/>
        <v>2274.6661290322577</v>
      </c>
      <c r="U8" s="1">
        <f t="shared" si="6"/>
        <v>2628.1803333333323</v>
      </c>
      <c r="V8" s="4">
        <f t="shared" si="7"/>
        <v>0.4440814509188844</v>
      </c>
      <c r="W8" s="4">
        <f t="shared" si="7"/>
        <v>0.42987810978488422</v>
      </c>
    </row>
    <row r="9" spans="1:23" ht="16.5" x14ac:dyDescent="0.3">
      <c r="A9" s="16" t="s">
        <v>9</v>
      </c>
      <c r="B9" s="17">
        <f>SUM(B2:B8)</f>
        <v>187076</v>
      </c>
      <c r="C9" s="17">
        <f>SUM(C2:C8)</f>
        <v>187199</v>
      </c>
      <c r="D9" s="17">
        <f>SUM(D2:D8)</f>
        <v>826392912.74193549</v>
      </c>
      <c r="E9" s="17">
        <f>SUM(E2:E8)</f>
        <v>966421428.33333325</v>
      </c>
      <c r="F9" s="10"/>
      <c r="G9" s="11"/>
      <c r="H9" s="17">
        <f>SUM(H2:H8)</f>
        <v>81183.129032258061</v>
      </c>
      <c r="I9" s="17">
        <f>SUM(I2:I8)</f>
        <v>98054.866666666669</v>
      </c>
      <c r="J9" s="17">
        <f>SUM(J2:J8)</f>
        <v>99296.935483870955</v>
      </c>
      <c r="K9" s="17">
        <f>SUM(K2:K8)</f>
        <v>117276.3</v>
      </c>
      <c r="L9" s="9"/>
      <c r="M9" s="18">
        <f>SUM(M2:M8)+12767</f>
        <v>172530.61806451614</v>
      </c>
      <c r="N9" s="18">
        <f>SUM(N2:N8)+12133</f>
        <v>193037.00366666669</v>
      </c>
      <c r="O9" s="8"/>
      <c r="P9" s="8"/>
      <c r="Q9" s="17">
        <f>SUM(Q2:Q8)+2548</f>
        <v>101844.93548387096</v>
      </c>
      <c r="R9" s="17">
        <f>SUM(R2:R8)+2542</f>
        <v>119818.3</v>
      </c>
      <c r="S9" s="10"/>
      <c r="T9" s="17">
        <f>SUM(T2:T8)+10219</f>
        <v>70685.682580645167</v>
      </c>
      <c r="U9" s="17">
        <f>SUM(U2:U8)+9591</f>
        <v>73218.703666666668</v>
      </c>
      <c r="V9" s="20">
        <f>SUM(M9-Q9)/M9</f>
        <v>0.40969935292420362</v>
      </c>
      <c r="W9" s="20">
        <f>SUM(N9-R9)/N9</f>
        <v>0.37929879906911323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A530-0868-419C-900E-F1421449E97A}">
  <dimension ref="A1:W9"/>
  <sheetViews>
    <sheetView zoomScale="69" workbookViewId="0">
      <selection activeCell="A10" sqref="A10:XFD38"/>
    </sheetView>
  </sheetViews>
  <sheetFormatPr defaultRowHeight="15.75" x14ac:dyDescent="0.25"/>
  <cols>
    <col min="1" max="1" width="11.125" bestFit="1" customWidth="1"/>
    <col min="2" max="2" width="29.125" bestFit="1" customWidth="1"/>
    <col min="3" max="3" width="36.875" bestFit="1" customWidth="1"/>
    <col min="4" max="5" width="34.375" bestFit="1" customWidth="1"/>
    <col min="6" max="6" width="24" bestFit="1" customWidth="1"/>
    <col min="7" max="7" width="27.875" bestFit="1" customWidth="1"/>
    <col min="8" max="11" width="34.375" bestFit="1" customWidth="1"/>
    <col min="12" max="12" width="25.25" bestFit="1" customWidth="1"/>
    <col min="13" max="14" width="34.375" bestFit="1" customWidth="1"/>
    <col min="15" max="15" width="30.5" bestFit="1" customWidth="1"/>
    <col min="16" max="16" width="44.625" bestFit="1" customWidth="1"/>
    <col min="17" max="18" width="30.5" bestFit="1" customWidth="1"/>
    <col min="19" max="19" width="25.25" bestFit="1" customWidth="1"/>
    <col min="20" max="21" width="20.125" bestFit="1" customWidth="1"/>
    <col min="22" max="22" width="33" bestFit="1" customWidth="1"/>
    <col min="23" max="23" width="34.375" bestFit="1" customWidth="1"/>
  </cols>
  <sheetData>
    <row r="1" spans="1:23" x14ac:dyDescent="0.25">
      <c r="A1" s="15" t="s">
        <v>0</v>
      </c>
      <c r="B1" s="15" t="s">
        <v>51</v>
      </c>
      <c r="C1" s="15" t="s">
        <v>52</v>
      </c>
      <c r="D1" s="15" t="s">
        <v>43</v>
      </c>
      <c r="E1" s="15" t="s">
        <v>53</v>
      </c>
      <c r="F1" s="15" t="s">
        <v>11</v>
      </c>
      <c r="G1" s="15" t="s">
        <v>12</v>
      </c>
      <c r="H1" s="15" t="s">
        <v>44</v>
      </c>
      <c r="I1" s="15" t="s">
        <v>54</v>
      </c>
      <c r="J1" s="15" t="s">
        <v>45</v>
      </c>
      <c r="K1" s="15" t="s">
        <v>55</v>
      </c>
      <c r="L1" s="15" t="s">
        <v>19</v>
      </c>
      <c r="M1" s="15" t="s">
        <v>46</v>
      </c>
      <c r="N1" s="15" t="s">
        <v>56</v>
      </c>
      <c r="O1" s="15" t="s">
        <v>22</v>
      </c>
      <c r="P1" s="15" t="s">
        <v>23</v>
      </c>
      <c r="Q1" s="15" t="s">
        <v>47</v>
      </c>
      <c r="R1" s="15" t="s">
        <v>57</v>
      </c>
      <c r="S1" s="15" t="s">
        <v>26</v>
      </c>
      <c r="T1" s="15" t="s">
        <v>48</v>
      </c>
      <c r="U1" s="15" t="s">
        <v>58</v>
      </c>
      <c r="V1" s="15" t="s">
        <v>59</v>
      </c>
      <c r="W1" s="15" t="s">
        <v>60</v>
      </c>
    </row>
    <row r="2" spans="1:23" x14ac:dyDescent="0.25">
      <c r="A2" s="3" t="s">
        <v>2</v>
      </c>
      <c r="B2" s="13">
        <v>46607</v>
      </c>
      <c r="C2" s="13">
        <v>46677</v>
      </c>
      <c r="D2" s="21">
        <v>8094458788</v>
      </c>
      <c r="E2" s="21">
        <v>7290373130</v>
      </c>
      <c r="F2" s="1">
        <f>E2-D2</f>
        <v>-804085658</v>
      </c>
      <c r="G2" s="4">
        <f>F2/D2</f>
        <v>-9.933779132856338E-2</v>
      </c>
      <c r="H2" s="21">
        <v>730077</v>
      </c>
      <c r="I2" s="21">
        <v>653261</v>
      </c>
      <c r="J2" s="21">
        <v>927222</v>
      </c>
      <c r="K2" s="21">
        <v>834522</v>
      </c>
      <c r="L2" s="4">
        <f>K2/J2</f>
        <v>0.90002394248626538</v>
      </c>
      <c r="M2" s="22">
        <v>1408521.0966666667</v>
      </c>
      <c r="N2" s="22">
        <v>1466285.5366666666</v>
      </c>
      <c r="O2" s="1">
        <f>N2-M2</f>
        <v>57764.439999999944</v>
      </c>
      <c r="P2" s="4">
        <f>O2/M2</f>
        <v>4.1010702741124921E-2</v>
      </c>
      <c r="Q2" s="21">
        <v>927222</v>
      </c>
      <c r="R2" s="21">
        <v>834522</v>
      </c>
      <c r="S2" s="1">
        <f>R2-Q2</f>
        <v>-92700</v>
      </c>
      <c r="T2" s="1">
        <f>M2-Q2</f>
        <v>481299.09666666668</v>
      </c>
      <c r="U2" s="1">
        <f>N2-R2</f>
        <v>631763.53666666662</v>
      </c>
      <c r="V2" s="4">
        <f>T2/M2</f>
        <v>0.34170528067040262</v>
      </c>
      <c r="W2" s="4">
        <f>U2/N2</f>
        <v>0.43085982973198117</v>
      </c>
    </row>
    <row r="3" spans="1:23" x14ac:dyDescent="0.25">
      <c r="A3" s="3" t="s">
        <v>6</v>
      </c>
      <c r="B3" s="13">
        <v>35147</v>
      </c>
      <c r="C3" s="13">
        <v>35174</v>
      </c>
      <c r="D3" s="21">
        <v>5325961222</v>
      </c>
      <c r="E3" s="21">
        <v>4975497888</v>
      </c>
      <c r="F3" s="1">
        <f t="shared" ref="F3:F8" si="0">E3-D3</f>
        <v>-350463334</v>
      </c>
      <c r="G3" s="4">
        <f t="shared" ref="G3:G8" si="1">F3/D3</f>
        <v>-6.580283246380722E-2</v>
      </c>
      <c r="H3" s="21">
        <v>495364</v>
      </c>
      <c r="I3" s="21">
        <v>456030</v>
      </c>
      <c r="J3" s="21">
        <v>612461</v>
      </c>
      <c r="K3" s="21">
        <v>571175</v>
      </c>
      <c r="L3" s="4">
        <f t="shared" ref="L3:L8" si="2">K3/J3</f>
        <v>0.93258999348529947</v>
      </c>
      <c r="M3" s="22">
        <v>965826.62399999984</v>
      </c>
      <c r="N3" s="22">
        <v>856542.50999999989</v>
      </c>
      <c r="O3" s="1">
        <f t="shared" ref="O3:O7" si="3">N3-M3</f>
        <v>-109284.11399999994</v>
      </c>
      <c r="P3" s="4">
        <f t="shared" ref="P3:P8" si="4">O3/M3</f>
        <v>-0.1131508609147639</v>
      </c>
      <c r="Q3" s="21">
        <v>612461</v>
      </c>
      <c r="R3" s="21">
        <v>571175</v>
      </c>
      <c r="S3" s="1">
        <f t="shared" ref="S3:S8" si="5">R3-Q3</f>
        <v>-41286</v>
      </c>
      <c r="T3" s="1">
        <f t="shared" ref="T3:U8" si="6">M3-Q3</f>
        <v>353365.62399999984</v>
      </c>
      <c r="U3" s="1">
        <f t="shared" si="6"/>
        <v>285367.50999999989</v>
      </c>
      <c r="V3" s="4">
        <f t="shared" ref="V3:W8" si="7">T3/M3</f>
        <v>0.36586858885347923</v>
      </c>
      <c r="W3" s="4">
        <f t="shared" si="7"/>
        <v>0.33316211007437324</v>
      </c>
    </row>
    <row r="4" spans="1:23" x14ac:dyDescent="0.25">
      <c r="A4" s="3" t="s">
        <v>5</v>
      </c>
      <c r="B4" s="13">
        <v>33788</v>
      </c>
      <c r="C4" s="13">
        <v>33764</v>
      </c>
      <c r="D4" s="21">
        <v>4953941466</v>
      </c>
      <c r="E4" s="21">
        <v>4152375286</v>
      </c>
      <c r="F4" s="1">
        <f t="shared" si="0"/>
        <v>-801566180</v>
      </c>
      <c r="G4" s="4">
        <f t="shared" si="1"/>
        <v>-0.161803724468956</v>
      </c>
      <c r="H4" s="21">
        <v>613680</v>
      </c>
      <c r="I4" s="21">
        <v>513064</v>
      </c>
      <c r="J4" s="21">
        <v>680245</v>
      </c>
      <c r="K4" s="21">
        <v>574527</v>
      </c>
      <c r="L4" s="4">
        <f t="shared" si="2"/>
        <v>0.84458834684562178</v>
      </c>
      <c r="M4" s="22">
        <v>1092523.3160000001</v>
      </c>
      <c r="N4" s="22">
        <v>1036985.3300000003</v>
      </c>
      <c r="O4" s="1">
        <f t="shared" si="3"/>
        <v>-55537.985999999801</v>
      </c>
      <c r="P4" s="4">
        <f t="shared" si="4"/>
        <v>-5.083460022010166E-2</v>
      </c>
      <c r="Q4" s="21">
        <v>680245</v>
      </c>
      <c r="R4" s="21">
        <v>574527</v>
      </c>
      <c r="S4" s="1">
        <f t="shared" si="5"/>
        <v>-105718</v>
      </c>
      <c r="T4" s="1">
        <f t="shared" si="6"/>
        <v>412278.31600000011</v>
      </c>
      <c r="U4" s="1">
        <f t="shared" si="6"/>
        <v>462458.33000000031</v>
      </c>
      <c r="V4" s="4">
        <f t="shared" si="7"/>
        <v>0.37736340264979762</v>
      </c>
      <c r="W4" s="4">
        <f t="shared" si="7"/>
        <v>0.44596419700556433</v>
      </c>
    </row>
    <row r="5" spans="1:23" x14ac:dyDescent="0.25">
      <c r="A5" s="3" t="s">
        <v>3</v>
      </c>
      <c r="B5" s="13">
        <v>28186</v>
      </c>
      <c r="C5" s="13">
        <v>28176</v>
      </c>
      <c r="D5" s="21">
        <v>4211219746</v>
      </c>
      <c r="E5" s="21">
        <v>3826372670</v>
      </c>
      <c r="F5" s="1">
        <f t="shared" si="0"/>
        <v>-384847076</v>
      </c>
      <c r="G5" s="4">
        <f t="shared" si="1"/>
        <v>-9.1386130197918192E-2</v>
      </c>
      <c r="H5" s="21">
        <v>429672</v>
      </c>
      <c r="I5" s="21">
        <v>391205</v>
      </c>
      <c r="J5" s="21">
        <v>508741</v>
      </c>
      <c r="K5" s="21">
        <v>462867</v>
      </c>
      <c r="L5" s="4">
        <f t="shared" si="2"/>
        <v>0.90982838025635837</v>
      </c>
      <c r="M5" s="22">
        <v>760428.77777777775</v>
      </c>
      <c r="N5" s="22">
        <v>740041.77777777775</v>
      </c>
      <c r="O5" s="1">
        <f t="shared" si="3"/>
        <v>-20387</v>
      </c>
      <c r="P5" s="4">
        <f t="shared" si="4"/>
        <v>-2.6809874370585369E-2</v>
      </c>
      <c r="Q5" s="21">
        <v>508741</v>
      </c>
      <c r="R5" s="21">
        <v>462867</v>
      </c>
      <c r="S5" s="1">
        <f t="shared" si="5"/>
        <v>-45874</v>
      </c>
      <c r="T5" s="1">
        <f t="shared" si="6"/>
        <v>251687.77777777775</v>
      </c>
      <c r="U5" s="1">
        <f t="shared" si="6"/>
        <v>277174.77777777775</v>
      </c>
      <c r="V5" s="4">
        <f t="shared" si="7"/>
        <v>0.33098139514563346</v>
      </c>
      <c r="W5" s="4">
        <f t="shared" si="7"/>
        <v>0.37453936534513965</v>
      </c>
    </row>
    <row r="6" spans="1:23" x14ac:dyDescent="0.25">
      <c r="A6" s="3" t="s">
        <v>4</v>
      </c>
      <c r="B6" s="13">
        <v>21221</v>
      </c>
      <c r="C6" s="13">
        <v>21244</v>
      </c>
      <c r="D6" s="21">
        <v>3282380791</v>
      </c>
      <c r="E6" s="21">
        <v>3028764979</v>
      </c>
      <c r="F6" s="1">
        <f t="shared" si="0"/>
        <v>-253615812</v>
      </c>
      <c r="G6" s="4">
        <f t="shared" si="1"/>
        <v>-7.7265810443258837E-2</v>
      </c>
      <c r="H6" s="21">
        <v>359714</v>
      </c>
      <c r="I6" s="21">
        <v>334596</v>
      </c>
      <c r="J6" s="21">
        <v>410565</v>
      </c>
      <c r="K6" s="21">
        <v>381219</v>
      </c>
      <c r="L6" s="4">
        <f t="shared" si="2"/>
        <v>0.92852288918928794</v>
      </c>
      <c r="M6" s="22">
        <v>560088.74222222227</v>
      </c>
      <c r="N6" s="22">
        <v>560458.52222222229</v>
      </c>
      <c r="O6" s="1">
        <f t="shared" si="3"/>
        <v>369.78000000002794</v>
      </c>
      <c r="P6" s="4">
        <f t="shared" si="4"/>
        <v>6.6021680516712312E-4</v>
      </c>
      <c r="Q6" s="21">
        <v>410565</v>
      </c>
      <c r="R6" s="21">
        <v>381219</v>
      </c>
      <c r="S6" s="1">
        <f t="shared" si="5"/>
        <v>-29346</v>
      </c>
      <c r="T6" s="1">
        <f t="shared" si="6"/>
        <v>149523.74222222227</v>
      </c>
      <c r="U6" s="1">
        <f t="shared" si="6"/>
        <v>179239.52222222229</v>
      </c>
      <c r="V6" s="4">
        <f t="shared" si="7"/>
        <v>0.26696437716096216</v>
      </c>
      <c r="W6" s="4">
        <f t="shared" si="7"/>
        <v>0.31980871931706245</v>
      </c>
    </row>
    <row r="7" spans="1:23" x14ac:dyDescent="0.25">
      <c r="A7" s="3" t="s">
        <v>8</v>
      </c>
      <c r="B7" s="13">
        <v>15754</v>
      </c>
      <c r="C7" s="13">
        <v>15758</v>
      </c>
      <c r="D7" s="21">
        <v>2350518561</v>
      </c>
      <c r="E7" s="21">
        <v>2095454696</v>
      </c>
      <c r="F7" s="1">
        <f t="shared" si="0"/>
        <v>-255063865</v>
      </c>
      <c r="G7" s="4">
        <f t="shared" si="1"/>
        <v>-0.10851386976135434</v>
      </c>
      <c r="H7" s="21">
        <v>218148</v>
      </c>
      <c r="I7" s="21">
        <v>191129</v>
      </c>
      <c r="J7" s="21">
        <v>274487</v>
      </c>
      <c r="K7" s="21">
        <v>243761</v>
      </c>
      <c r="L7" s="4">
        <f t="shared" si="2"/>
        <v>0.8880602724354888</v>
      </c>
      <c r="M7" s="22">
        <v>456318.14333333325</v>
      </c>
      <c r="N7" s="22">
        <v>472211.81333333335</v>
      </c>
      <c r="O7" s="1">
        <f t="shared" si="3"/>
        <v>15893.6700000001</v>
      </c>
      <c r="P7" s="4">
        <f t="shared" si="4"/>
        <v>3.483023901679496E-2</v>
      </c>
      <c r="Q7" s="21">
        <v>274487</v>
      </c>
      <c r="R7" s="21">
        <v>243761</v>
      </c>
      <c r="S7" s="1">
        <f t="shared" si="5"/>
        <v>-30726</v>
      </c>
      <c r="T7" s="1">
        <f t="shared" si="6"/>
        <v>181831.14333333325</v>
      </c>
      <c r="U7" s="1">
        <f t="shared" si="6"/>
        <v>228450.81333333335</v>
      </c>
      <c r="V7" s="4">
        <f t="shared" si="7"/>
        <v>0.39847449852658706</v>
      </c>
      <c r="W7" s="4">
        <f t="shared" si="7"/>
        <v>0.48378885678590677</v>
      </c>
    </row>
    <row r="8" spans="1:23" x14ac:dyDescent="0.25">
      <c r="A8" s="3" t="s">
        <v>7</v>
      </c>
      <c r="B8" s="13">
        <v>6496</v>
      </c>
      <c r="C8" s="13">
        <v>6499</v>
      </c>
      <c r="D8" s="21">
        <v>774162276</v>
      </c>
      <c r="E8" s="21">
        <v>686788013</v>
      </c>
      <c r="F8" s="1">
        <f t="shared" si="0"/>
        <v>-87374263</v>
      </c>
      <c r="G8" s="4">
        <f t="shared" si="1"/>
        <v>-0.11286298197252898</v>
      </c>
      <c r="H8" s="21">
        <v>94991</v>
      </c>
      <c r="I8" s="21">
        <v>83978</v>
      </c>
      <c r="J8" s="21">
        <v>104568</v>
      </c>
      <c r="K8" s="21">
        <v>93298</v>
      </c>
      <c r="L8" s="4">
        <f t="shared" si="2"/>
        <v>0.89222324229209704</v>
      </c>
      <c r="M8" s="22">
        <v>183413.40999999997</v>
      </c>
      <c r="N8" s="22">
        <v>172886.65</v>
      </c>
      <c r="O8" s="1">
        <f>N8-M8</f>
        <v>-10526.75999999998</v>
      </c>
      <c r="P8" s="4">
        <f t="shared" si="4"/>
        <v>-5.739362241833889E-2</v>
      </c>
      <c r="Q8" s="21">
        <v>104568</v>
      </c>
      <c r="R8" s="21">
        <v>93298</v>
      </c>
      <c r="S8" s="1">
        <f t="shared" si="5"/>
        <v>-11270</v>
      </c>
      <c r="T8" s="1">
        <f t="shared" si="6"/>
        <v>78845.409999999974</v>
      </c>
      <c r="U8" s="1">
        <f t="shared" si="6"/>
        <v>79588.649999999994</v>
      </c>
      <c r="V8" s="4">
        <f t="shared" si="7"/>
        <v>0.42987810978488422</v>
      </c>
      <c r="W8" s="4">
        <f t="shared" si="7"/>
        <v>0.46035162344808001</v>
      </c>
    </row>
    <row r="9" spans="1:23" ht="16.5" x14ac:dyDescent="0.3">
      <c r="A9" s="16" t="s">
        <v>9</v>
      </c>
      <c r="B9" s="17">
        <f>SUM(B2:B8)</f>
        <v>187199</v>
      </c>
      <c r="C9" s="17">
        <f>SUM(C2:C8)</f>
        <v>187292</v>
      </c>
      <c r="D9" s="17">
        <f>SUM(D2:D8)</f>
        <v>28992642850</v>
      </c>
      <c r="E9" s="17">
        <f>SUM(E2:E8)</f>
        <v>26055626662</v>
      </c>
      <c r="F9" s="10"/>
      <c r="G9" s="11"/>
      <c r="H9" s="17">
        <f>SUM(H2:H8)</f>
        <v>2941646</v>
      </c>
      <c r="I9" s="17">
        <f>SUM(I2:I8)</f>
        <v>2623263</v>
      </c>
      <c r="J9" s="17">
        <f>SUM(J2:J8)</f>
        <v>3518289</v>
      </c>
      <c r="K9" s="17">
        <f>SUM(K2:K8)</f>
        <v>3161369</v>
      </c>
      <c r="L9" s="9"/>
      <c r="M9" s="18">
        <f>SUM(M2:M8)+12133</f>
        <v>5439253.1100000003</v>
      </c>
      <c r="N9" s="18">
        <f>SUM(N2:N8)+2472</f>
        <v>5307884.1400000015</v>
      </c>
      <c r="O9" s="8"/>
      <c r="P9" s="8"/>
      <c r="Q9" s="17">
        <f>SUM(Q2:Q8)+2542</f>
        <v>3520831</v>
      </c>
      <c r="R9" s="17">
        <f>SUM(R2:R8)+2129</f>
        <v>3163498</v>
      </c>
      <c r="S9" s="10"/>
      <c r="T9" s="17">
        <f>SUM(T2:T8)+9591</f>
        <v>1918422.1099999999</v>
      </c>
      <c r="U9" s="17">
        <f>SUM(U2:U8)+343</f>
        <v>2144386.14</v>
      </c>
      <c r="V9" s="20">
        <f>SUM(M9-Q9)/M9</f>
        <v>0.35269954738326198</v>
      </c>
      <c r="W9" s="20">
        <f>SUM(N9-R9)/N9</f>
        <v>0.40400017849673731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DDD0-C765-4BEA-AB1C-49B8E8D77424}">
  <dimension ref="A1:W9"/>
  <sheetViews>
    <sheetView zoomScale="73" workbookViewId="0">
      <selection activeCell="A10" sqref="A10:XFD25"/>
    </sheetView>
  </sheetViews>
  <sheetFormatPr defaultRowHeight="15.75" x14ac:dyDescent="0.25"/>
  <cols>
    <col min="1" max="1" width="11.125" bestFit="1" customWidth="1"/>
    <col min="2" max="2" width="29.125" bestFit="1" customWidth="1"/>
    <col min="3" max="4" width="34.375" bestFit="1" customWidth="1"/>
    <col min="5" max="5" width="31.75" bestFit="1" customWidth="1"/>
    <col min="6" max="6" width="24" bestFit="1" customWidth="1"/>
    <col min="7" max="7" width="27.875" bestFit="1" customWidth="1"/>
    <col min="8" max="8" width="34.375" bestFit="1" customWidth="1"/>
    <col min="9" max="9" width="31.75" bestFit="1" customWidth="1"/>
    <col min="10" max="10" width="34.375" bestFit="1" customWidth="1"/>
    <col min="11" max="11" width="31.75" bestFit="1" customWidth="1"/>
    <col min="12" max="12" width="25.25" bestFit="1" customWidth="1"/>
    <col min="13" max="13" width="34.375" bestFit="1" customWidth="1"/>
    <col min="14" max="14" width="31.75" bestFit="1" customWidth="1"/>
    <col min="15" max="15" width="30.5" bestFit="1" customWidth="1"/>
    <col min="16" max="16" width="44.625" bestFit="1" customWidth="1"/>
    <col min="17" max="17" width="30.5" bestFit="1" customWidth="1"/>
    <col min="18" max="18" width="27.875" bestFit="1" customWidth="1"/>
    <col min="19" max="19" width="25.25" bestFit="1" customWidth="1"/>
    <col min="20" max="20" width="20.125" bestFit="1" customWidth="1"/>
    <col min="21" max="21" width="17.625" bestFit="1" customWidth="1"/>
    <col min="22" max="22" width="33" bestFit="1" customWidth="1"/>
    <col min="23" max="23" width="31.75" bestFit="1" customWidth="1"/>
  </cols>
  <sheetData>
    <row r="1" spans="1:23" x14ac:dyDescent="0.25">
      <c r="A1" s="15" t="s">
        <v>0</v>
      </c>
      <c r="B1" s="15" t="s">
        <v>51</v>
      </c>
      <c r="C1" s="15" t="s">
        <v>52</v>
      </c>
      <c r="D1" s="15" t="s">
        <v>43</v>
      </c>
      <c r="E1" s="15" t="s">
        <v>53</v>
      </c>
      <c r="F1" s="15" t="s">
        <v>11</v>
      </c>
      <c r="G1" s="15" t="s">
        <v>12</v>
      </c>
      <c r="H1" s="15" t="s">
        <v>44</v>
      </c>
      <c r="I1" s="15" t="s">
        <v>54</v>
      </c>
      <c r="J1" s="15" t="s">
        <v>45</v>
      </c>
      <c r="K1" s="15" t="s">
        <v>55</v>
      </c>
      <c r="L1" s="15" t="s">
        <v>19</v>
      </c>
      <c r="M1" s="15" t="s">
        <v>46</v>
      </c>
      <c r="N1" s="15" t="s">
        <v>56</v>
      </c>
      <c r="O1" s="15" t="s">
        <v>22</v>
      </c>
      <c r="P1" s="15" t="s">
        <v>23</v>
      </c>
      <c r="Q1" s="15" t="s">
        <v>47</v>
      </c>
      <c r="R1" s="15" t="s">
        <v>57</v>
      </c>
      <c r="S1" s="15" t="s">
        <v>26</v>
      </c>
      <c r="T1" s="15" t="s">
        <v>48</v>
      </c>
      <c r="U1" s="15" t="s">
        <v>58</v>
      </c>
      <c r="V1" s="15" t="s">
        <v>59</v>
      </c>
      <c r="W1" s="15" t="s">
        <v>60</v>
      </c>
    </row>
    <row r="2" spans="1:23" x14ac:dyDescent="0.25">
      <c r="A2" s="3" t="s">
        <v>2</v>
      </c>
      <c r="B2" s="13">
        <v>46607</v>
      </c>
      <c r="C2" s="13">
        <v>46677</v>
      </c>
      <c r="D2" s="21">
        <f>Mei!D2/30</f>
        <v>269815292.93333334</v>
      </c>
      <c r="E2" s="21">
        <f>Mei!E2/31</f>
        <v>235173326.77419356</v>
      </c>
      <c r="F2" s="1">
        <f>E2-D2</f>
        <v>-34641966.159139782</v>
      </c>
      <c r="G2" s="4">
        <f>F2/D2</f>
        <v>-0.12839141096312584</v>
      </c>
      <c r="H2" s="21">
        <f>Mei!H2/30</f>
        <v>24335.9</v>
      </c>
      <c r="I2" s="21">
        <f>Mei!I2/31</f>
        <v>21072.935483870966</v>
      </c>
      <c r="J2" s="21">
        <f>Mei!J2/30</f>
        <v>30907.4</v>
      </c>
      <c r="K2" s="21">
        <f>Mei!K2/31</f>
        <v>26920.064516129034</v>
      </c>
      <c r="L2" s="4">
        <f>K2/J2</f>
        <v>0.87099091208348267</v>
      </c>
      <c r="M2" s="22">
        <f>Mei!M2/30</f>
        <v>46950.703222222226</v>
      </c>
      <c r="N2" s="22">
        <f>Mei!N2/31</f>
        <v>47299.533440860214</v>
      </c>
      <c r="O2" s="1">
        <f>N2-M2</f>
        <v>348.83021863798785</v>
      </c>
      <c r="P2" s="4">
        <f>O2/M2</f>
        <v>7.4297123301208211E-3</v>
      </c>
      <c r="Q2" s="21">
        <f>Mei!Q2/30</f>
        <v>30907.4</v>
      </c>
      <c r="R2" s="21">
        <f>Mei!R2/31</f>
        <v>26920.064516129034</v>
      </c>
      <c r="S2" s="1">
        <f>R2-Q2</f>
        <v>-3987.3354838709674</v>
      </c>
      <c r="T2" s="1">
        <f>M2-Q2</f>
        <v>16043.303222222225</v>
      </c>
      <c r="U2" s="1">
        <f>N2-R2</f>
        <v>20379.46892473118</v>
      </c>
      <c r="V2" s="4">
        <f>T2/M2</f>
        <v>0.34170528067040268</v>
      </c>
      <c r="W2" s="4">
        <f>U2/N2</f>
        <v>0.43085982973198111</v>
      </c>
    </row>
    <row r="3" spans="1:23" x14ac:dyDescent="0.25">
      <c r="A3" s="3" t="s">
        <v>6</v>
      </c>
      <c r="B3" s="13">
        <v>35147</v>
      </c>
      <c r="C3" s="13">
        <v>35174</v>
      </c>
      <c r="D3" s="21">
        <f>Mei!D3/30</f>
        <v>177532040.73333332</v>
      </c>
      <c r="E3" s="21">
        <f>Mei!E3/31</f>
        <v>160499931.87096775</v>
      </c>
      <c r="F3" s="1">
        <f t="shared" ref="F3:F8" si="0">E3-D3</f>
        <v>-17032108.862365574</v>
      </c>
      <c r="G3" s="4">
        <f t="shared" ref="G3:G8" si="1">F3/D3</f>
        <v>-9.5938224964974644E-2</v>
      </c>
      <c r="H3" s="21">
        <f>Mei!H3/30</f>
        <v>16512.133333333335</v>
      </c>
      <c r="I3" s="21">
        <f>Mei!I3/31</f>
        <v>14710.645161290322</v>
      </c>
      <c r="J3" s="21">
        <f>Mei!J3/30</f>
        <v>20415.366666666665</v>
      </c>
      <c r="K3" s="21">
        <f>Mei!K3/31</f>
        <v>18425</v>
      </c>
      <c r="L3" s="4">
        <f t="shared" ref="L3:L8" si="2">K3/J3</f>
        <v>0.90250644530835444</v>
      </c>
      <c r="M3" s="22">
        <f>Mei!M3/30</f>
        <v>32194.220799999996</v>
      </c>
      <c r="N3" s="22">
        <f>Mei!N3/31</f>
        <v>27630.403548387094</v>
      </c>
      <c r="O3" s="1">
        <f t="shared" ref="O3:O7" si="3">N3-M3</f>
        <v>-4563.8172516129016</v>
      </c>
      <c r="P3" s="4">
        <f t="shared" ref="P3:P8" si="4">O3/M3</f>
        <v>-0.14175889765944893</v>
      </c>
      <c r="Q3" s="21">
        <f>Mei!Q3/30</f>
        <v>20415.366666666665</v>
      </c>
      <c r="R3" s="21">
        <f>Mei!R3/31</f>
        <v>18425</v>
      </c>
      <c r="S3" s="1">
        <f t="shared" ref="S3:S8" si="5">R3-Q3</f>
        <v>-1990.366666666665</v>
      </c>
      <c r="T3" s="1">
        <f t="shared" ref="T3:U8" si="6">M3-Q3</f>
        <v>11778.854133333331</v>
      </c>
      <c r="U3" s="1">
        <f t="shared" si="6"/>
        <v>9205.4035483870939</v>
      </c>
      <c r="V3" s="4">
        <f t="shared" ref="V3:W8" si="7">T3/M3</f>
        <v>0.36586858885347934</v>
      </c>
      <c r="W3" s="4">
        <f t="shared" si="7"/>
        <v>0.33316211007437324</v>
      </c>
    </row>
    <row r="4" spans="1:23" x14ac:dyDescent="0.25">
      <c r="A4" s="3" t="s">
        <v>5</v>
      </c>
      <c r="B4" s="13">
        <v>33788</v>
      </c>
      <c r="C4" s="13">
        <v>33764</v>
      </c>
      <c r="D4" s="21">
        <f>Mei!D4/30</f>
        <v>165131382.19999999</v>
      </c>
      <c r="E4" s="21">
        <f>Mei!E4/31</f>
        <v>133947589.87096775</v>
      </c>
      <c r="F4" s="1">
        <f t="shared" si="0"/>
        <v>-31183792.329032242</v>
      </c>
      <c r="G4" s="4">
        <f t="shared" si="1"/>
        <v>-0.18884231400221541</v>
      </c>
      <c r="H4" s="21">
        <f>Mei!H4/30</f>
        <v>20456</v>
      </c>
      <c r="I4" s="21">
        <f>Mei!I4/31</f>
        <v>16550.451612903227</v>
      </c>
      <c r="J4" s="21">
        <f>Mei!J4/30</f>
        <v>22674.833333333332</v>
      </c>
      <c r="K4" s="21">
        <f>Mei!K4/31</f>
        <v>18533.129032258064</v>
      </c>
      <c r="L4" s="4">
        <f t="shared" si="2"/>
        <v>0.81734356146350495</v>
      </c>
      <c r="M4" s="22">
        <f>Mei!M4/30</f>
        <v>36417.443866666668</v>
      </c>
      <c r="N4" s="22">
        <f>Mei!N4/31</f>
        <v>33451.139677419364</v>
      </c>
      <c r="O4" s="1">
        <f t="shared" si="3"/>
        <v>-2966.3041892473047</v>
      </c>
      <c r="P4" s="4">
        <f t="shared" si="4"/>
        <v>-8.1452838922679002E-2</v>
      </c>
      <c r="Q4" s="21">
        <f>Mei!Q4/30</f>
        <v>22674.833333333332</v>
      </c>
      <c r="R4" s="21">
        <f>Mei!R4/31</f>
        <v>18533.129032258064</v>
      </c>
      <c r="S4" s="1">
        <f t="shared" si="5"/>
        <v>-4141.7043010752677</v>
      </c>
      <c r="T4" s="1">
        <f t="shared" si="6"/>
        <v>13742.610533333336</v>
      </c>
      <c r="U4" s="1">
        <f t="shared" si="6"/>
        <v>14918.010645161299</v>
      </c>
      <c r="V4" s="4">
        <f t="shared" si="7"/>
        <v>0.37736340264979762</v>
      </c>
      <c r="W4" s="4">
        <f t="shared" si="7"/>
        <v>0.44596419700556433</v>
      </c>
    </row>
    <row r="5" spans="1:23" x14ac:dyDescent="0.25">
      <c r="A5" s="3" t="s">
        <v>3</v>
      </c>
      <c r="B5" s="13">
        <v>28186</v>
      </c>
      <c r="C5" s="13">
        <v>28176</v>
      </c>
      <c r="D5" s="21">
        <f>Mei!D5/30</f>
        <v>140373991.53333333</v>
      </c>
      <c r="E5" s="21">
        <f>Mei!E5/31</f>
        <v>123431376.4516129</v>
      </c>
      <c r="F5" s="1">
        <f t="shared" si="0"/>
        <v>-16942615.081720427</v>
      </c>
      <c r="G5" s="4">
        <f t="shared" si="1"/>
        <v>-0.12069625503024339</v>
      </c>
      <c r="H5" s="21">
        <f>Mei!H5/30</f>
        <v>14322.4</v>
      </c>
      <c r="I5" s="21">
        <f>Mei!I5/31</f>
        <v>12619.516129032258</v>
      </c>
      <c r="J5" s="21">
        <f>Mei!J5/30</f>
        <v>16958.033333333333</v>
      </c>
      <c r="K5" s="21">
        <f>Mei!K5/31</f>
        <v>14931.193548387097</v>
      </c>
      <c r="L5" s="4">
        <f t="shared" si="2"/>
        <v>0.8804790776674436</v>
      </c>
      <c r="M5" s="22">
        <f>Mei!M5/30</f>
        <v>25347.625925925924</v>
      </c>
      <c r="N5" s="22">
        <f>Mei!N5/31</f>
        <v>23872.315412186381</v>
      </c>
      <c r="O5" s="1">
        <f t="shared" si="3"/>
        <v>-1475.3105137395432</v>
      </c>
      <c r="P5" s="4">
        <f t="shared" si="4"/>
        <v>-5.8203104229598637E-2</v>
      </c>
      <c r="Q5" s="21">
        <f>Mei!Q5/30</f>
        <v>16958.033333333333</v>
      </c>
      <c r="R5" s="21">
        <f>Mei!R5/31</f>
        <v>14931.193548387097</v>
      </c>
      <c r="S5" s="1">
        <f t="shared" si="5"/>
        <v>-2026.8397849462363</v>
      </c>
      <c r="T5" s="1">
        <f t="shared" si="6"/>
        <v>8389.5925925925912</v>
      </c>
      <c r="U5" s="1">
        <f t="shared" si="6"/>
        <v>8941.1218637992843</v>
      </c>
      <c r="V5" s="4">
        <f t="shared" si="7"/>
        <v>0.33098139514563346</v>
      </c>
      <c r="W5" s="4">
        <f t="shared" si="7"/>
        <v>0.37453936534513971</v>
      </c>
    </row>
    <row r="6" spans="1:23" x14ac:dyDescent="0.25">
      <c r="A6" s="3" t="s">
        <v>4</v>
      </c>
      <c r="B6" s="13">
        <v>21221</v>
      </c>
      <c r="C6" s="13">
        <v>21244</v>
      </c>
      <c r="D6" s="21">
        <f>Mei!D6/30</f>
        <v>109412693.03333333</v>
      </c>
      <c r="E6" s="21">
        <f>Mei!E6/31</f>
        <v>97702096.096774191</v>
      </c>
      <c r="F6" s="1">
        <f t="shared" si="0"/>
        <v>-11710596.936559141</v>
      </c>
      <c r="G6" s="4">
        <f t="shared" si="1"/>
        <v>-0.10703142946121824</v>
      </c>
      <c r="H6" s="21">
        <f>Mei!H6/30</f>
        <v>11990.466666666667</v>
      </c>
      <c r="I6" s="21">
        <f>Mei!I6/31</f>
        <v>10793.41935483871</v>
      </c>
      <c r="J6" s="21">
        <f>Mei!J6/30</f>
        <v>13685.5</v>
      </c>
      <c r="K6" s="21">
        <f>Mei!K6/31</f>
        <v>12297.387096774193</v>
      </c>
      <c r="L6" s="4">
        <f t="shared" si="2"/>
        <v>0.89857053792511732</v>
      </c>
      <c r="M6" s="22">
        <f>Mei!M6/30</f>
        <v>18669.624740740743</v>
      </c>
      <c r="N6" s="22">
        <f>Mei!N6/31</f>
        <v>18079.307168458785</v>
      </c>
      <c r="O6" s="1">
        <f t="shared" si="3"/>
        <v>-590.31757228195784</v>
      </c>
      <c r="P6" s="4">
        <f t="shared" si="4"/>
        <v>-3.1619145027257586E-2</v>
      </c>
      <c r="Q6" s="21">
        <f>Mei!Q6/30</f>
        <v>13685.5</v>
      </c>
      <c r="R6" s="21">
        <f>Mei!R6/31</f>
        <v>12297.387096774193</v>
      </c>
      <c r="S6" s="1">
        <f t="shared" si="5"/>
        <v>-1388.1129032258068</v>
      </c>
      <c r="T6" s="1">
        <f t="shared" si="6"/>
        <v>4984.1247407407427</v>
      </c>
      <c r="U6" s="1">
        <f t="shared" si="6"/>
        <v>5781.9200716845917</v>
      </c>
      <c r="V6" s="4">
        <f t="shared" si="7"/>
        <v>0.26696437716096222</v>
      </c>
      <c r="W6" s="4">
        <f t="shared" si="7"/>
        <v>0.31980871931706251</v>
      </c>
    </row>
    <row r="7" spans="1:23" x14ac:dyDescent="0.25">
      <c r="A7" s="3" t="s">
        <v>8</v>
      </c>
      <c r="B7" s="13">
        <v>15754</v>
      </c>
      <c r="C7" s="13">
        <v>15758</v>
      </c>
      <c r="D7" s="21">
        <f>Mei!D7/30</f>
        <v>78350618.700000003</v>
      </c>
      <c r="E7" s="21">
        <f>Mei!E7/31</f>
        <v>67595312.774193555</v>
      </c>
      <c r="F7" s="1">
        <f t="shared" si="0"/>
        <v>-10755305.925806448</v>
      </c>
      <c r="G7" s="4">
        <f t="shared" si="1"/>
        <v>-0.13727148686582671</v>
      </c>
      <c r="H7" s="21">
        <f>Mei!H7/30</f>
        <v>7271.6</v>
      </c>
      <c r="I7" s="21">
        <f>Mei!I7/31</f>
        <v>6165.4516129032254</v>
      </c>
      <c r="J7" s="21">
        <f>Mei!J7/30</f>
        <v>9149.5666666666675</v>
      </c>
      <c r="K7" s="21">
        <f>Mei!K7/31</f>
        <v>7863.2580645161288</v>
      </c>
      <c r="L7" s="4">
        <f t="shared" si="2"/>
        <v>0.85941316687305347</v>
      </c>
      <c r="M7" s="22">
        <f>Mei!M7/30</f>
        <v>15210.604777777775</v>
      </c>
      <c r="N7" s="22">
        <f>Mei!N7/31</f>
        <v>15232.639139784947</v>
      </c>
      <c r="O7" s="1">
        <f t="shared" si="3"/>
        <v>22.034362007172604</v>
      </c>
      <c r="P7" s="4">
        <f t="shared" si="4"/>
        <v>1.4486184033500186E-3</v>
      </c>
      <c r="Q7" s="21">
        <f>Mei!Q7/30</f>
        <v>9149.5666666666675</v>
      </c>
      <c r="R7" s="21">
        <f>Mei!R7/31</f>
        <v>7863.2580645161288</v>
      </c>
      <c r="S7" s="1">
        <f t="shared" si="5"/>
        <v>-1286.3086021505387</v>
      </c>
      <c r="T7" s="1">
        <f t="shared" si="6"/>
        <v>6061.0381111111074</v>
      </c>
      <c r="U7" s="1">
        <f t="shared" si="6"/>
        <v>7369.3810752688187</v>
      </c>
      <c r="V7" s="4">
        <f t="shared" si="7"/>
        <v>0.39847449852658701</v>
      </c>
      <c r="W7" s="4">
        <f t="shared" si="7"/>
        <v>0.48378885678590683</v>
      </c>
    </row>
    <row r="8" spans="1:23" x14ac:dyDescent="0.25">
      <c r="A8" s="3" t="s">
        <v>7</v>
      </c>
      <c r="B8" s="13">
        <v>6496</v>
      </c>
      <c r="C8" s="13">
        <v>6499</v>
      </c>
      <c r="D8" s="21">
        <f>Mei!D8/30</f>
        <v>25805409.199999999</v>
      </c>
      <c r="E8" s="21">
        <f>Mei!E8/31</f>
        <v>22154452.032258064</v>
      </c>
      <c r="F8" s="1">
        <f t="shared" si="0"/>
        <v>-3650957.1677419357</v>
      </c>
      <c r="G8" s="4">
        <f t="shared" si="1"/>
        <v>-0.14148030513470547</v>
      </c>
      <c r="H8" s="21">
        <f>Mei!H8/30</f>
        <v>3166.3666666666668</v>
      </c>
      <c r="I8" s="21">
        <f>Mei!I8/31</f>
        <v>2708.9677419354839</v>
      </c>
      <c r="J8" s="21">
        <f>Mei!J8/30</f>
        <v>3485.6</v>
      </c>
      <c r="K8" s="21">
        <f>Mei!K8/31</f>
        <v>3009.6129032258063</v>
      </c>
      <c r="L8" s="4">
        <f t="shared" si="2"/>
        <v>0.86344184737944873</v>
      </c>
      <c r="M8" s="22">
        <f>Mei!M8/30</f>
        <v>6113.7803333333322</v>
      </c>
      <c r="N8" s="22">
        <f>Mei!N8/31</f>
        <v>5576.9887096774191</v>
      </c>
      <c r="O8" s="1">
        <f>N8-M8</f>
        <v>-536.7916236559131</v>
      </c>
      <c r="P8" s="4">
        <f t="shared" si="4"/>
        <v>-8.7800279759682756E-2</v>
      </c>
      <c r="Q8" s="21">
        <f>Mei!Q8/30</f>
        <v>3485.6</v>
      </c>
      <c r="R8" s="21">
        <f>Mei!R8/31</f>
        <v>3009.6129032258063</v>
      </c>
      <c r="S8" s="1">
        <f t="shared" si="5"/>
        <v>-475.98709677419356</v>
      </c>
      <c r="T8" s="1">
        <f t="shared" si="6"/>
        <v>2628.1803333333323</v>
      </c>
      <c r="U8" s="1">
        <f t="shared" si="6"/>
        <v>2567.3758064516128</v>
      </c>
      <c r="V8" s="4">
        <f t="shared" si="7"/>
        <v>0.42987810978488422</v>
      </c>
      <c r="W8" s="4">
        <f t="shared" si="7"/>
        <v>0.46035162344808001</v>
      </c>
    </row>
    <row r="9" spans="1:23" ht="16.5" x14ac:dyDescent="0.3">
      <c r="A9" s="16" t="s">
        <v>9</v>
      </c>
      <c r="B9" s="17">
        <f>SUM(B2:B8)</f>
        <v>187199</v>
      </c>
      <c r="C9" s="17">
        <f>SUM(C2:C8)</f>
        <v>187292</v>
      </c>
      <c r="D9" s="17">
        <f>SUM(D2:D8)</f>
        <v>966421428.33333325</v>
      </c>
      <c r="E9" s="17">
        <f>SUM(E2:E8)</f>
        <v>840504085.87096775</v>
      </c>
      <c r="F9" s="10"/>
      <c r="G9" s="11"/>
      <c r="H9" s="17">
        <f>SUM(H2:H8)</f>
        <v>98054.866666666669</v>
      </c>
      <c r="I9" s="17">
        <f>SUM(I2:I8)</f>
        <v>84621.387096774197</v>
      </c>
      <c r="J9" s="17">
        <f>SUM(J2:J8)</f>
        <v>117276.3</v>
      </c>
      <c r="K9" s="17">
        <f>SUM(K2:K8)</f>
        <v>101979.64516129032</v>
      </c>
      <c r="L9" s="9"/>
      <c r="M9" s="18">
        <f>SUM(M2:M8)+456318</f>
        <v>637222.00366666669</v>
      </c>
      <c r="N9" s="18">
        <f>SUM(N2:N8)+472212</f>
        <v>643354.32709677424</v>
      </c>
      <c r="O9" s="8"/>
      <c r="P9" s="8"/>
      <c r="Q9" s="17">
        <f>SUM(Q2:Q8)+274518</f>
        <v>391794.3</v>
      </c>
      <c r="R9" s="17">
        <f>SUM(R2:R8)+243761</f>
        <v>345740.6451612903</v>
      </c>
      <c r="S9" s="10"/>
      <c r="T9" s="17">
        <f>SUM(T2:T8)+9591</f>
        <v>73218.703666666668</v>
      </c>
      <c r="U9" s="17">
        <f>SUM(U2:U8)+343</f>
        <v>69505.681935483881</v>
      </c>
      <c r="V9" s="20">
        <f>SUM(M9-Q9)/M9</f>
        <v>0.3851525877236513</v>
      </c>
      <c r="W9" s="20">
        <f>SUM(N9-R9)/N9</f>
        <v>0.46259684500531306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CAE5-4A6A-409D-B807-8979986F5356}">
  <dimension ref="A1:W9"/>
  <sheetViews>
    <sheetView zoomScale="74" zoomScaleNormal="100" workbookViewId="0">
      <selection activeCell="A10" sqref="A10:XFD27"/>
    </sheetView>
  </sheetViews>
  <sheetFormatPr defaultRowHeight="15.75" x14ac:dyDescent="0.25"/>
  <cols>
    <col min="1" max="1" width="11.125" bestFit="1" customWidth="1"/>
    <col min="2" max="2" width="29.125" bestFit="1" customWidth="1"/>
    <col min="3" max="4" width="34.375" bestFit="1" customWidth="1"/>
    <col min="5" max="5" width="31.75" bestFit="1" customWidth="1"/>
    <col min="6" max="6" width="24" bestFit="1" customWidth="1"/>
    <col min="7" max="7" width="27.875" bestFit="1" customWidth="1"/>
    <col min="8" max="8" width="34.375" bestFit="1" customWidth="1"/>
    <col min="9" max="9" width="31.75" bestFit="1" customWidth="1"/>
    <col min="10" max="10" width="34.375" bestFit="1" customWidth="1"/>
    <col min="11" max="11" width="31.75" bestFit="1" customWidth="1"/>
    <col min="12" max="12" width="25.25" bestFit="1" customWidth="1"/>
    <col min="13" max="13" width="34.375" bestFit="1" customWidth="1"/>
    <col min="14" max="14" width="31.75" bestFit="1" customWidth="1"/>
    <col min="15" max="15" width="30.5" bestFit="1" customWidth="1"/>
    <col min="16" max="16" width="44.625" bestFit="1" customWidth="1"/>
    <col min="17" max="17" width="30.5" bestFit="1" customWidth="1"/>
    <col min="18" max="18" width="27.875" bestFit="1" customWidth="1"/>
    <col min="19" max="19" width="25.25" bestFit="1" customWidth="1"/>
    <col min="20" max="20" width="20.125" bestFit="1" customWidth="1"/>
    <col min="21" max="21" width="17.625" bestFit="1" customWidth="1"/>
    <col min="22" max="22" width="33" bestFit="1" customWidth="1"/>
    <col min="23" max="23" width="31.75" bestFit="1" customWidth="1"/>
  </cols>
  <sheetData>
    <row r="1" spans="1:23" x14ac:dyDescent="0.25">
      <c r="A1" s="15" t="s">
        <v>0</v>
      </c>
      <c r="B1" s="15" t="s">
        <v>61</v>
      </c>
      <c r="C1" s="15" t="s">
        <v>62</v>
      </c>
      <c r="D1" s="15" t="s">
        <v>53</v>
      </c>
      <c r="E1" s="15" t="s">
        <v>63</v>
      </c>
      <c r="F1" s="15" t="s">
        <v>11</v>
      </c>
      <c r="G1" s="15" t="s">
        <v>12</v>
      </c>
      <c r="H1" s="15" t="s">
        <v>54</v>
      </c>
      <c r="I1" s="15" t="s">
        <v>64</v>
      </c>
      <c r="J1" s="15" t="s">
        <v>55</v>
      </c>
      <c r="K1" s="15" t="s">
        <v>65</v>
      </c>
      <c r="L1" s="15" t="s">
        <v>19</v>
      </c>
      <c r="M1" s="15" t="s">
        <v>56</v>
      </c>
      <c r="N1" s="15" t="s">
        <v>66</v>
      </c>
      <c r="O1" s="15" t="s">
        <v>22</v>
      </c>
      <c r="P1" s="15" t="s">
        <v>23</v>
      </c>
      <c r="Q1" s="15" t="s">
        <v>57</v>
      </c>
      <c r="R1" s="15" t="s">
        <v>67</v>
      </c>
      <c r="S1" s="15" t="s">
        <v>26</v>
      </c>
      <c r="T1" s="15" t="s">
        <v>58</v>
      </c>
      <c r="U1" s="15" t="s">
        <v>68</v>
      </c>
      <c r="V1" s="15" t="s">
        <v>69</v>
      </c>
      <c r="W1" s="15" t="s">
        <v>70</v>
      </c>
    </row>
    <row r="2" spans="1:23" x14ac:dyDescent="0.25">
      <c r="A2" s="3" t="s">
        <v>2</v>
      </c>
      <c r="B2" s="13">
        <v>46677</v>
      </c>
      <c r="C2" s="13">
        <v>46795</v>
      </c>
      <c r="D2" s="21">
        <v>7290373130</v>
      </c>
      <c r="E2" s="21">
        <v>7680966016</v>
      </c>
      <c r="F2" s="1">
        <f>E2-D2</f>
        <v>390592886</v>
      </c>
      <c r="G2" s="4">
        <f>F2/D2</f>
        <v>5.3576528805186131E-2</v>
      </c>
      <c r="H2" s="21">
        <v>653261</v>
      </c>
      <c r="I2" s="21">
        <v>691626</v>
      </c>
      <c r="J2" s="21">
        <v>834522</v>
      </c>
      <c r="K2" s="21">
        <v>883018</v>
      </c>
      <c r="L2" s="4">
        <f>K2/J2</f>
        <v>1.0581123086030086</v>
      </c>
      <c r="M2" s="22">
        <v>1466285.5366666666</v>
      </c>
      <c r="N2" s="22">
        <v>1489842.2699999996</v>
      </c>
      <c r="O2" s="1">
        <f>N2-M2</f>
        <v>23556.73333333293</v>
      </c>
      <c r="P2" s="4">
        <f>O2/M2</f>
        <v>1.6065583915452701E-2</v>
      </c>
      <c r="Q2" s="21">
        <v>834522</v>
      </c>
      <c r="R2" s="21">
        <v>883018</v>
      </c>
      <c r="S2" s="1">
        <f>R2-Q2</f>
        <v>48496</v>
      </c>
      <c r="T2" s="1">
        <f>M2-Q2</f>
        <v>631763.53666666662</v>
      </c>
      <c r="U2" s="1">
        <f>N2-R2</f>
        <v>606824.26999999955</v>
      </c>
      <c r="V2" s="4">
        <f>T2/M2</f>
        <v>0.43085982973198117</v>
      </c>
      <c r="W2" s="4">
        <f>U2/N2</f>
        <v>0.40730772795163056</v>
      </c>
    </row>
    <row r="3" spans="1:23" x14ac:dyDescent="0.25">
      <c r="A3" s="3" t="s">
        <v>6</v>
      </c>
      <c r="B3" s="13">
        <v>35174</v>
      </c>
      <c r="C3" s="13">
        <v>35355</v>
      </c>
      <c r="D3" s="21">
        <v>4975497888</v>
      </c>
      <c r="E3" s="21">
        <v>5399063040</v>
      </c>
      <c r="F3" s="1">
        <f t="shared" ref="F3:F8" si="0">E3-D3</f>
        <v>423565152</v>
      </c>
      <c r="G3" s="4">
        <f t="shared" ref="G3:G8" si="1">F3/D3</f>
        <v>8.5130204360364101E-2</v>
      </c>
      <c r="H3" s="21">
        <v>456030</v>
      </c>
      <c r="I3" s="21">
        <v>486671</v>
      </c>
      <c r="J3" s="21">
        <v>571175</v>
      </c>
      <c r="K3" s="21">
        <v>616495</v>
      </c>
      <c r="L3" s="4">
        <f t="shared" ref="L3:L8" si="2">K3/J3</f>
        <v>1.0793452094366875</v>
      </c>
      <c r="M3" s="22">
        <v>856542.50999999989</v>
      </c>
      <c r="N3" s="22">
        <v>1024484.5100000001</v>
      </c>
      <c r="O3" s="1">
        <f t="shared" ref="O3:O7" si="3">N3-M3</f>
        <v>167942.00000000023</v>
      </c>
      <c r="P3" s="4">
        <f t="shared" ref="P3:P8" si="4">O3/M3</f>
        <v>0.19606966150459976</v>
      </c>
      <c r="Q3" s="21">
        <v>571175</v>
      </c>
      <c r="R3" s="21">
        <v>616495</v>
      </c>
      <c r="S3" s="1">
        <f t="shared" ref="S3:S8" si="5">R3-Q3</f>
        <v>45320</v>
      </c>
      <c r="T3" s="1">
        <f t="shared" ref="T3:U8" si="6">M3-Q3</f>
        <v>285367.50999999989</v>
      </c>
      <c r="U3" s="1">
        <f t="shared" si="6"/>
        <v>407989.51000000013</v>
      </c>
      <c r="V3" s="4">
        <f t="shared" ref="V3:W8" si="7">T3/M3</f>
        <v>0.33316211007437324</v>
      </c>
      <c r="W3" s="4">
        <f t="shared" si="7"/>
        <v>0.39823882744698608</v>
      </c>
    </row>
    <row r="4" spans="1:23" x14ac:dyDescent="0.25">
      <c r="A4" s="3" t="s">
        <v>5</v>
      </c>
      <c r="B4" s="13">
        <v>33764</v>
      </c>
      <c r="C4" s="13">
        <v>33771</v>
      </c>
      <c r="D4" s="21">
        <v>4152375286</v>
      </c>
      <c r="E4" s="21">
        <v>4456953081</v>
      </c>
      <c r="F4" s="1">
        <f t="shared" si="0"/>
        <v>304577795</v>
      </c>
      <c r="G4" s="4">
        <f t="shared" si="1"/>
        <v>7.3350257147253434E-2</v>
      </c>
      <c r="H4" s="21">
        <v>513064</v>
      </c>
      <c r="I4" s="21">
        <v>549075</v>
      </c>
      <c r="J4" s="21">
        <v>574527</v>
      </c>
      <c r="K4" s="21">
        <v>614079</v>
      </c>
      <c r="L4" s="4">
        <f t="shared" si="2"/>
        <v>1.0688427175746309</v>
      </c>
      <c r="M4" s="22">
        <v>1036985.3300000003</v>
      </c>
      <c r="N4" s="22">
        <v>953274.19</v>
      </c>
      <c r="O4" s="1">
        <f t="shared" si="3"/>
        <v>-83711.140000000363</v>
      </c>
      <c r="P4" s="4">
        <f t="shared" si="4"/>
        <v>-8.0725481429906376E-2</v>
      </c>
      <c r="Q4" s="21">
        <v>574527</v>
      </c>
      <c r="R4" s="21">
        <v>614079</v>
      </c>
      <c r="S4" s="1">
        <f t="shared" si="5"/>
        <v>39552</v>
      </c>
      <c r="T4" s="1">
        <f t="shared" si="6"/>
        <v>462458.33000000031</v>
      </c>
      <c r="U4" s="1">
        <f t="shared" si="6"/>
        <v>339195.18999999994</v>
      </c>
      <c r="V4" s="4">
        <f t="shared" si="7"/>
        <v>0.44596419700556433</v>
      </c>
      <c r="W4" s="4">
        <f t="shared" si="7"/>
        <v>0.35582122495102902</v>
      </c>
    </row>
    <row r="5" spans="1:23" x14ac:dyDescent="0.25">
      <c r="A5" s="3" t="s">
        <v>3</v>
      </c>
      <c r="B5" s="13">
        <v>28176</v>
      </c>
      <c r="C5" s="13">
        <v>28239</v>
      </c>
      <c r="D5" s="21">
        <v>3826372670</v>
      </c>
      <c r="E5" s="21">
        <v>4006767595</v>
      </c>
      <c r="F5" s="1">
        <f t="shared" si="0"/>
        <v>180394925</v>
      </c>
      <c r="G5" s="4">
        <f t="shared" si="1"/>
        <v>4.7145153009887038E-2</v>
      </c>
      <c r="H5" s="21">
        <v>391205</v>
      </c>
      <c r="I5" s="21">
        <v>411676</v>
      </c>
      <c r="J5" s="21">
        <v>462867</v>
      </c>
      <c r="K5" s="21">
        <v>485811</v>
      </c>
      <c r="L5" s="4">
        <f t="shared" si="2"/>
        <v>1.0495693147275567</v>
      </c>
      <c r="M5" s="22">
        <v>740041.77777777775</v>
      </c>
      <c r="N5" s="22">
        <v>763585.77777777775</v>
      </c>
      <c r="O5" s="1">
        <f t="shared" si="3"/>
        <v>23544</v>
      </c>
      <c r="P5" s="4">
        <f t="shared" si="4"/>
        <v>3.1814420086793901E-2</v>
      </c>
      <c r="Q5" s="21">
        <v>462867</v>
      </c>
      <c r="R5" s="21">
        <v>485811</v>
      </c>
      <c r="S5" s="1">
        <f t="shared" si="5"/>
        <v>22944</v>
      </c>
      <c r="T5" s="1">
        <f t="shared" si="6"/>
        <v>277174.77777777775</v>
      </c>
      <c r="U5" s="1">
        <f t="shared" si="6"/>
        <v>277774.77777777775</v>
      </c>
      <c r="V5" s="4">
        <f t="shared" si="7"/>
        <v>0.37453936534513965</v>
      </c>
      <c r="W5" s="4">
        <f t="shared" si="7"/>
        <v>0.3637767829911272</v>
      </c>
    </row>
    <row r="6" spans="1:23" x14ac:dyDescent="0.25">
      <c r="A6" s="3" t="s">
        <v>4</v>
      </c>
      <c r="B6" s="13">
        <v>21244</v>
      </c>
      <c r="C6" s="13">
        <v>21245</v>
      </c>
      <c r="D6" s="21">
        <v>3028764979</v>
      </c>
      <c r="E6" s="21">
        <v>3157121528</v>
      </c>
      <c r="F6" s="1">
        <f t="shared" si="0"/>
        <v>128356549</v>
      </c>
      <c r="G6" s="4">
        <f t="shared" si="1"/>
        <v>4.2379171011934766E-2</v>
      </c>
      <c r="H6" s="21">
        <v>334596</v>
      </c>
      <c r="I6" s="21">
        <v>336025</v>
      </c>
      <c r="J6" s="21">
        <v>381219</v>
      </c>
      <c r="K6" s="21">
        <v>390529</v>
      </c>
      <c r="L6" s="4">
        <f t="shared" si="2"/>
        <v>1.0244216578921828</v>
      </c>
      <c r="M6" s="22">
        <v>560458.52222222229</v>
      </c>
      <c r="N6" s="22">
        <v>686109.62222222239</v>
      </c>
      <c r="O6" s="1">
        <f t="shared" si="3"/>
        <v>125651.10000000009</v>
      </c>
      <c r="P6" s="4">
        <f t="shared" si="4"/>
        <v>0.22419339704532018</v>
      </c>
      <c r="Q6" s="21">
        <v>381219</v>
      </c>
      <c r="R6" s="21">
        <v>390529</v>
      </c>
      <c r="S6" s="1">
        <f t="shared" si="5"/>
        <v>9310</v>
      </c>
      <c r="T6" s="1">
        <f t="shared" si="6"/>
        <v>179239.52222222229</v>
      </c>
      <c r="U6" s="1">
        <f t="shared" si="6"/>
        <v>295580.62222222239</v>
      </c>
      <c r="V6" s="4">
        <f t="shared" si="7"/>
        <v>0.31980871931706245</v>
      </c>
      <c r="W6" s="4">
        <f t="shared" si="7"/>
        <v>0.43080670005016702</v>
      </c>
    </row>
    <row r="7" spans="1:23" x14ac:dyDescent="0.25">
      <c r="A7" s="3" t="s">
        <v>8</v>
      </c>
      <c r="B7" s="13">
        <v>15758</v>
      </c>
      <c r="C7" s="13">
        <v>15784</v>
      </c>
      <c r="D7" s="21">
        <v>2095454696</v>
      </c>
      <c r="E7" s="21">
        <v>2283769473</v>
      </c>
      <c r="F7" s="1">
        <f t="shared" si="0"/>
        <v>188314777</v>
      </c>
      <c r="G7" s="4">
        <f t="shared" si="1"/>
        <v>8.9868216840704243E-2</v>
      </c>
      <c r="H7" s="21">
        <v>191129</v>
      </c>
      <c r="I7" s="21">
        <v>194445</v>
      </c>
      <c r="J7" s="21">
        <v>243761</v>
      </c>
      <c r="K7" s="21">
        <v>257616</v>
      </c>
      <c r="L7" s="4">
        <f t="shared" si="2"/>
        <v>1.0568384606233154</v>
      </c>
      <c r="M7" s="22">
        <v>472211.81333333335</v>
      </c>
      <c r="N7" s="22">
        <v>440445.29999999993</v>
      </c>
      <c r="O7" s="1">
        <f t="shared" si="3"/>
        <v>-31766.513333333423</v>
      </c>
      <c r="P7" s="4">
        <f t="shared" si="4"/>
        <v>-6.7271746356988127E-2</v>
      </c>
      <c r="Q7" s="21">
        <v>243761</v>
      </c>
      <c r="R7" s="21">
        <v>257616</v>
      </c>
      <c r="S7" s="1">
        <f t="shared" si="5"/>
        <v>13855</v>
      </c>
      <c r="T7" s="1">
        <f t="shared" si="6"/>
        <v>228450.81333333335</v>
      </c>
      <c r="U7" s="1">
        <f t="shared" si="6"/>
        <v>182829.29999999993</v>
      </c>
      <c r="V7" s="4">
        <f t="shared" si="7"/>
        <v>0.48378885678590677</v>
      </c>
      <c r="W7" s="4">
        <f t="shared" si="7"/>
        <v>0.41510103524773667</v>
      </c>
    </row>
    <row r="8" spans="1:23" x14ac:dyDescent="0.25">
      <c r="A8" s="3" t="s">
        <v>7</v>
      </c>
      <c r="B8" s="13">
        <v>6499</v>
      </c>
      <c r="C8" s="13">
        <v>6511</v>
      </c>
      <c r="D8" s="21">
        <v>686788013</v>
      </c>
      <c r="E8" s="21">
        <v>715363470</v>
      </c>
      <c r="F8" s="1">
        <f t="shared" si="0"/>
        <v>28575457</v>
      </c>
      <c r="G8" s="4">
        <f t="shared" si="1"/>
        <v>4.1607390430677189E-2</v>
      </c>
      <c r="H8" s="21">
        <v>83978</v>
      </c>
      <c r="I8" s="21">
        <v>87806</v>
      </c>
      <c r="J8" s="21">
        <v>93298</v>
      </c>
      <c r="K8" s="21">
        <v>96382</v>
      </c>
      <c r="L8" s="4">
        <f t="shared" si="2"/>
        <v>1.0330553709618642</v>
      </c>
      <c r="M8" s="22">
        <v>172886.65</v>
      </c>
      <c r="N8" s="22">
        <v>184340.65</v>
      </c>
      <c r="O8" s="1">
        <f>N8-M8</f>
        <v>11454</v>
      </c>
      <c r="P8" s="4">
        <f t="shared" si="4"/>
        <v>6.6251500621939297E-2</v>
      </c>
      <c r="Q8" s="21">
        <v>93298</v>
      </c>
      <c r="R8" s="21">
        <v>96382</v>
      </c>
      <c r="S8" s="1">
        <f t="shared" si="5"/>
        <v>3084</v>
      </c>
      <c r="T8" s="1">
        <f t="shared" si="6"/>
        <v>79588.649999999994</v>
      </c>
      <c r="U8" s="1">
        <f t="shared" si="6"/>
        <v>87958.65</v>
      </c>
      <c r="V8" s="4">
        <f t="shared" si="7"/>
        <v>0.46035162344808001</v>
      </c>
      <c r="W8" s="4">
        <f t="shared" si="7"/>
        <v>0.47715276039224119</v>
      </c>
    </row>
    <row r="9" spans="1:23" ht="16.5" x14ac:dyDescent="0.3">
      <c r="A9" s="16" t="s">
        <v>9</v>
      </c>
      <c r="B9" s="17">
        <f>SUM(B2:B8)</f>
        <v>187292</v>
      </c>
      <c r="C9" s="17">
        <f>SUM(C2:C8)</f>
        <v>187700</v>
      </c>
      <c r="D9" s="17">
        <f>SUM(D2:D8)</f>
        <v>26055626662</v>
      </c>
      <c r="E9" s="17">
        <f>SUM(E2:E8)</f>
        <v>27700004203</v>
      </c>
      <c r="F9" s="10"/>
      <c r="G9" s="11"/>
      <c r="H9" s="17">
        <f>SUM(H2:H8)</f>
        <v>2623263</v>
      </c>
      <c r="I9" s="17">
        <f>SUM(I2:I8)</f>
        <v>2757324</v>
      </c>
      <c r="J9" s="17">
        <f>SUM(J2:J8)</f>
        <v>3161369</v>
      </c>
      <c r="K9" s="17">
        <f>SUM(K2:K8)</f>
        <v>3343930</v>
      </c>
      <c r="L9" s="9"/>
      <c r="M9" s="17">
        <f>SUM(M2:M8)+2472</f>
        <v>5307884.1400000015</v>
      </c>
      <c r="N9" s="17">
        <f>SUM(N2:N8)+2427</f>
        <v>5544509.3200000003</v>
      </c>
      <c r="O9" s="8"/>
      <c r="P9" s="8"/>
      <c r="Q9" s="17">
        <f>SUM(Q2:Q8)+2129</f>
        <v>3163498</v>
      </c>
      <c r="R9" s="17">
        <f>SUM(R2:R8)+2486</f>
        <v>3346416</v>
      </c>
      <c r="S9" s="10"/>
      <c r="T9" s="17">
        <f>SUM(T2:T8)+343</f>
        <v>2144386.14</v>
      </c>
      <c r="U9" s="17">
        <f>SUM(U2:U8)+59</f>
        <v>2198211.3199999998</v>
      </c>
      <c r="V9" s="20">
        <f>SUM(M9-Q9)/M9</f>
        <v>0.40400017849673731</v>
      </c>
      <c r="W9" s="20">
        <f>SUM(N9-R9)/N9</f>
        <v>0.39644505818956766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8768-BCA2-4603-B703-1C6B750F25D4}">
  <dimension ref="A1:W9"/>
  <sheetViews>
    <sheetView zoomScale="79" workbookViewId="0">
      <selection activeCell="A10" sqref="A10:XFD26"/>
    </sheetView>
  </sheetViews>
  <sheetFormatPr defaultRowHeight="15.75" x14ac:dyDescent="0.25"/>
  <cols>
    <col min="1" max="1" width="11.125" bestFit="1" customWidth="1"/>
    <col min="2" max="2" width="26.625" bestFit="1" customWidth="1"/>
    <col min="3" max="3" width="35.625" bestFit="1" customWidth="1"/>
    <col min="4" max="4" width="31.75" bestFit="1" customWidth="1"/>
    <col min="5" max="5" width="33" bestFit="1" customWidth="1"/>
    <col min="6" max="6" width="24" bestFit="1" customWidth="1"/>
    <col min="7" max="7" width="27.875" bestFit="1" customWidth="1"/>
    <col min="8" max="8" width="31.75" bestFit="1" customWidth="1"/>
    <col min="9" max="9" width="33" bestFit="1" customWidth="1"/>
    <col min="10" max="10" width="31.75" bestFit="1" customWidth="1"/>
    <col min="11" max="11" width="33" bestFit="1" customWidth="1"/>
    <col min="12" max="12" width="25.25" bestFit="1" customWidth="1"/>
    <col min="13" max="13" width="31.75" bestFit="1" customWidth="1"/>
    <col min="14" max="14" width="33" bestFit="1" customWidth="1"/>
    <col min="15" max="15" width="30.5" bestFit="1" customWidth="1"/>
    <col min="16" max="16" width="44.625" bestFit="1" customWidth="1"/>
    <col min="17" max="17" width="27.875" bestFit="1" customWidth="1"/>
    <col min="18" max="18" width="29.125" bestFit="1" customWidth="1"/>
    <col min="19" max="19" width="25.25" bestFit="1" customWidth="1"/>
    <col min="20" max="20" width="17.625" bestFit="1" customWidth="1"/>
    <col min="21" max="21" width="18.875" bestFit="1" customWidth="1"/>
    <col min="22" max="22" width="30.5" bestFit="1" customWidth="1"/>
    <col min="23" max="23" width="33" bestFit="1" customWidth="1"/>
  </cols>
  <sheetData>
    <row r="1" spans="1:23" x14ac:dyDescent="0.25">
      <c r="A1" s="15" t="s">
        <v>0</v>
      </c>
      <c r="B1" s="15" t="s">
        <v>61</v>
      </c>
      <c r="C1" s="15" t="s">
        <v>62</v>
      </c>
      <c r="D1" s="15" t="s">
        <v>53</v>
      </c>
      <c r="E1" s="15" t="s">
        <v>63</v>
      </c>
      <c r="F1" s="15" t="s">
        <v>11</v>
      </c>
      <c r="G1" s="15" t="s">
        <v>12</v>
      </c>
      <c r="H1" s="15" t="s">
        <v>54</v>
      </c>
      <c r="I1" s="15" t="s">
        <v>64</v>
      </c>
      <c r="J1" s="15" t="s">
        <v>55</v>
      </c>
      <c r="K1" s="15" t="s">
        <v>65</v>
      </c>
      <c r="L1" s="15" t="s">
        <v>19</v>
      </c>
      <c r="M1" s="15" t="s">
        <v>56</v>
      </c>
      <c r="N1" s="15" t="s">
        <v>66</v>
      </c>
      <c r="O1" s="15" t="s">
        <v>22</v>
      </c>
      <c r="P1" s="15" t="s">
        <v>23</v>
      </c>
      <c r="Q1" s="15" t="s">
        <v>57</v>
      </c>
      <c r="R1" s="15" t="s">
        <v>67</v>
      </c>
      <c r="S1" s="15" t="s">
        <v>26</v>
      </c>
      <c r="T1" s="15" t="s">
        <v>58</v>
      </c>
      <c r="U1" s="15" t="s">
        <v>68</v>
      </c>
      <c r="V1" s="15" t="s">
        <v>69</v>
      </c>
      <c r="W1" s="15" t="s">
        <v>70</v>
      </c>
    </row>
    <row r="2" spans="1:23" x14ac:dyDescent="0.25">
      <c r="A2" s="3" t="s">
        <v>2</v>
      </c>
      <c r="B2" s="13">
        <v>46677</v>
      </c>
      <c r="C2" s="13">
        <v>46795</v>
      </c>
      <c r="D2" s="21">
        <f>Juni!D2/31</f>
        <v>235173326.77419356</v>
      </c>
      <c r="E2" s="21">
        <f>Juni!E2/30</f>
        <v>256032200.53333333</v>
      </c>
      <c r="F2" s="1">
        <f>E2-D2</f>
        <v>20858873.759139776</v>
      </c>
      <c r="G2" s="4">
        <f>F2/D2</f>
        <v>8.8695746432025629E-2</v>
      </c>
      <c r="H2" s="21">
        <f>Juni!H2/31</f>
        <v>21072.935483870966</v>
      </c>
      <c r="I2" s="21">
        <f>Juni!I2/30</f>
        <v>23054.2</v>
      </c>
      <c r="J2" s="21">
        <f>Juni!J2/31</f>
        <v>26920.064516129034</v>
      </c>
      <c r="K2" s="21">
        <f>Juni!K2/30</f>
        <v>29433.933333333334</v>
      </c>
      <c r="L2" s="4">
        <f>K2/J2</f>
        <v>1.0933827188897756</v>
      </c>
      <c r="M2" s="22">
        <f>Juni!M2/31</f>
        <v>47299.533440860214</v>
      </c>
      <c r="N2" s="22">
        <f>Juni!N2/30</f>
        <v>49661.408999999985</v>
      </c>
      <c r="O2" s="1">
        <f>N2-M2</f>
        <v>2361.8755591397712</v>
      </c>
      <c r="P2" s="4">
        <f>O2/M2</f>
        <v>4.993443671263445E-2</v>
      </c>
      <c r="Q2" s="21">
        <f>Juni!Q2/31</f>
        <v>26920.064516129034</v>
      </c>
      <c r="R2" s="21">
        <f>Juni!R2/30</f>
        <v>29433.933333333334</v>
      </c>
      <c r="S2" s="1">
        <f>R2-Q2</f>
        <v>2513.8688172043003</v>
      </c>
      <c r="T2" s="1">
        <f>M2-Q2</f>
        <v>20379.46892473118</v>
      </c>
      <c r="U2" s="1">
        <f>N2-R2</f>
        <v>20227.475666666651</v>
      </c>
      <c r="V2" s="4">
        <f>T2/M2</f>
        <v>0.43085982973198111</v>
      </c>
      <c r="W2" s="4">
        <f>U2/N2</f>
        <v>0.40730772795163056</v>
      </c>
    </row>
    <row r="3" spans="1:23" x14ac:dyDescent="0.25">
      <c r="A3" s="3" t="s">
        <v>6</v>
      </c>
      <c r="B3" s="13">
        <v>35174</v>
      </c>
      <c r="C3" s="13">
        <v>35355</v>
      </c>
      <c r="D3" s="21">
        <f>Juni!D3/31</f>
        <v>160499931.87096775</v>
      </c>
      <c r="E3" s="21">
        <f>Juni!E3/30</f>
        <v>179968768</v>
      </c>
      <c r="F3" s="1">
        <f t="shared" ref="F3:F8" si="0">E3-D3</f>
        <v>19468836.129032254</v>
      </c>
      <c r="G3" s="4">
        <f t="shared" ref="G3:G8" si="1">F3/D3</f>
        <v>0.12130121117237622</v>
      </c>
      <c r="H3" s="21">
        <f>Juni!H3/31</f>
        <v>14710.645161290322</v>
      </c>
      <c r="I3" s="21">
        <f>Juni!I3/30</f>
        <v>16222.366666666667</v>
      </c>
      <c r="J3" s="21">
        <f>Juni!J3/31</f>
        <v>18425</v>
      </c>
      <c r="K3" s="21">
        <f>Juni!K3/30</f>
        <v>20549.833333333332</v>
      </c>
      <c r="L3" s="4">
        <f t="shared" ref="L3:L8" si="2">K3/J3</f>
        <v>1.115323383084577</v>
      </c>
      <c r="M3" s="22">
        <f>Juni!M3/31</f>
        <v>27630.403548387094</v>
      </c>
      <c r="N3" s="22">
        <f>Juni!N3/30</f>
        <v>34149.483666666674</v>
      </c>
      <c r="O3" s="1">
        <f t="shared" ref="O3:O7" si="3">N3-M3</f>
        <v>6519.0801182795803</v>
      </c>
      <c r="P3" s="4">
        <f t="shared" ref="P3:P8" si="4">O3/M3</f>
        <v>0.23593865022141985</v>
      </c>
      <c r="Q3" s="21">
        <f>Juni!Q3/31</f>
        <v>18425</v>
      </c>
      <c r="R3" s="21">
        <f>Juni!R3/30</f>
        <v>20549.833333333332</v>
      </c>
      <c r="S3" s="1">
        <f t="shared" ref="S3:S8" si="5">R3-Q3</f>
        <v>2124.8333333333321</v>
      </c>
      <c r="T3" s="1">
        <f t="shared" ref="T3:U8" si="6">M3-Q3</f>
        <v>9205.4035483870939</v>
      </c>
      <c r="U3" s="1">
        <f t="shared" si="6"/>
        <v>13599.650333333342</v>
      </c>
      <c r="V3" s="4">
        <f t="shared" ref="V3:W8" si="7">T3/M3</f>
        <v>0.33316211007437324</v>
      </c>
      <c r="W3" s="4">
        <f t="shared" si="7"/>
        <v>0.39823882744698619</v>
      </c>
    </row>
    <row r="4" spans="1:23" x14ac:dyDescent="0.25">
      <c r="A4" s="3" t="s">
        <v>5</v>
      </c>
      <c r="B4" s="13">
        <v>33764</v>
      </c>
      <c r="C4" s="13">
        <v>33771</v>
      </c>
      <c r="D4" s="21">
        <f>Juni!D4/31</f>
        <v>133947589.87096775</v>
      </c>
      <c r="E4" s="21">
        <f>Juni!E4/30</f>
        <v>148565102.69999999</v>
      </c>
      <c r="F4" s="1">
        <f t="shared" si="0"/>
        <v>14617512.829032242</v>
      </c>
      <c r="G4" s="4">
        <f t="shared" si="1"/>
        <v>0.10912859905216175</v>
      </c>
      <c r="H4" s="21">
        <f>Juni!H4/31</f>
        <v>16550.451612903227</v>
      </c>
      <c r="I4" s="21">
        <f>Juni!I4/30</f>
        <v>18302.5</v>
      </c>
      <c r="J4" s="21">
        <f>Juni!J4/31</f>
        <v>18533.129032258064</v>
      </c>
      <c r="K4" s="21">
        <f>Juni!K4/30</f>
        <v>20469.3</v>
      </c>
      <c r="L4" s="4">
        <f t="shared" si="2"/>
        <v>1.104470808160452</v>
      </c>
      <c r="M4" s="22">
        <f>Juni!M4/31</f>
        <v>33451.139677419364</v>
      </c>
      <c r="N4" s="22">
        <f>Juni!N4/30</f>
        <v>31775.80633333333</v>
      </c>
      <c r="O4" s="1">
        <f t="shared" si="3"/>
        <v>-1675.3333440860333</v>
      </c>
      <c r="P4" s="4">
        <f t="shared" si="4"/>
        <v>-5.0082997477569925E-2</v>
      </c>
      <c r="Q4" s="21">
        <f>Juni!Q4/31</f>
        <v>18533.129032258064</v>
      </c>
      <c r="R4" s="21">
        <f>Juni!R4/30</f>
        <v>20469.3</v>
      </c>
      <c r="S4" s="1">
        <f t="shared" si="5"/>
        <v>1936.1709677419349</v>
      </c>
      <c r="T4" s="1">
        <f t="shared" si="6"/>
        <v>14918.010645161299</v>
      </c>
      <c r="U4" s="1">
        <f t="shared" si="6"/>
        <v>11306.506333333331</v>
      </c>
      <c r="V4" s="4">
        <f t="shared" si="7"/>
        <v>0.44596419700556433</v>
      </c>
      <c r="W4" s="4">
        <f t="shared" si="7"/>
        <v>0.35582122495102902</v>
      </c>
    </row>
    <row r="5" spans="1:23" x14ac:dyDescent="0.25">
      <c r="A5" s="3" t="s">
        <v>3</v>
      </c>
      <c r="B5" s="13">
        <v>28176</v>
      </c>
      <c r="C5" s="13">
        <v>28239</v>
      </c>
      <c r="D5" s="21">
        <f>Juni!D5/31</f>
        <v>123431376.4516129</v>
      </c>
      <c r="E5" s="21">
        <f>Juni!E5/30</f>
        <v>133558919.83333333</v>
      </c>
      <c r="F5" s="1">
        <f t="shared" si="0"/>
        <v>10127543.381720424</v>
      </c>
      <c r="G5" s="4">
        <f t="shared" si="1"/>
        <v>8.204999144354988E-2</v>
      </c>
      <c r="H5" s="21">
        <f>Juni!H5/31</f>
        <v>12619.516129032258</v>
      </c>
      <c r="I5" s="21">
        <f>Juni!I5/30</f>
        <v>13722.533333333333</v>
      </c>
      <c r="J5" s="21">
        <f>Juni!J5/31</f>
        <v>14931.193548387097</v>
      </c>
      <c r="K5" s="21">
        <f>Juni!K5/30</f>
        <v>16193.7</v>
      </c>
      <c r="L5" s="4">
        <f t="shared" si="2"/>
        <v>1.0845549585518086</v>
      </c>
      <c r="M5" s="22">
        <f>Juni!M5/31</f>
        <v>23872.315412186381</v>
      </c>
      <c r="N5" s="22">
        <f>Juni!N5/30</f>
        <v>25452.859259259258</v>
      </c>
      <c r="O5" s="1">
        <f t="shared" si="3"/>
        <v>1580.5438470728768</v>
      </c>
      <c r="P5" s="4">
        <f t="shared" si="4"/>
        <v>6.6208234089686915E-2</v>
      </c>
      <c r="Q5" s="21">
        <f>Juni!Q5/31</f>
        <v>14931.193548387097</v>
      </c>
      <c r="R5" s="21">
        <f>Juni!R5/30</f>
        <v>16193.7</v>
      </c>
      <c r="S5" s="1">
        <f t="shared" si="5"/>
        <v>1262.5064516129041</v>
      </c>
      <c r="T5" s="1">
        <f t="shared" si="6"/>
        <v>8941.1218637992843</v>
      </c>
      <c r="U5" s="1">
        <f t="shared" si="6"/>
        <v>9259.1592592592569</v>
      </c>
      <c r="V5" s="4">
        <f t="shared" si="7"/>
        <v>0.37453936534513971</v>
      </c>
      <c r="W5" s="4">
        <f t="shared" si="7"/>
        <v>0.3637767829911272</v>
      </c>
    </row>
    <row r="6" spans="1:23" x14ac:dyDescent="0.25">
      <c r="A6" s="3" t="s">
        <v>4</v>
      </c>
      <c r="B6" s="13">
        <v>21244</v>
      </c>
      <c r="C6" s="13">
        <v>21245</v>
      </c>
      <c r="D6" s="21">
        <f>Juni!D6/31</f>
        <v>97702096.096774191</v>
      </c>
      <c r="E6" s="21">
        <f>Juni!E6/30</f>
        <v>105237384.26666667</v>
      </c>
      <c r="F6" s="1">
        <f t="shared" si="0"/>
        <v>7535288.169892475</v>
      </c>
      <c r="G6" s="4">
        <f t="shared" si="1"/>
        <v>7.712514337899927E-2</v>
      </c>
      <c r="H6" s="21">
        <f>Juni!H6/31</f>
        <v>10793.41935483871</v>
      </c>
      <c r="I6" s="21">
        <f>Juni!I6/30</f>
        <v>11200.833333333334</v>
      </c>
      <c r="J6" s="21">
        <f>Juni!J6/31</f>
        <v>12297.387096774193</v>
      </c>
      <c r="K6" s="21">
        <f>Juni!K6/30</f>
        <v>13017.633333333333</v>
      </c>
      <c r="L6" s="4">
        <f t="shared" si="2"/>
        <v>1.0585690464885888</v>
      </c>
      <c r="M6" s="22">
        <f>Juni!M6/31</f>
        <v>18079.307168458785</v>
      </c>
      <c r="N6" s="22">
        <f>Juni!N6/30</f>
        <v>22870.320740740746</v>
      </c>
      <c r="O6" s="1">
        <f t="shared" si="3"/>
        <v>4791.0135722819614</v>
      </c>
      <c r="P6" s="4">
        <f t="shared" si="4"/>
        <v>0.26499984361349743</v>
      </c>
      <c r="Q6" s="21">
        <f>Juni!Q6/31</f>
        <v>12297.387096774193</v>
      </c>
      <c r="R6" s="21">
        <f>Juni!R6/30</f>
        <v>13017.633333333333</v>
      </c>
      <c r="S6" s="1">
        <f t="shared" si="5"/>
        <v>720.24623655914002</v>
      </c>
      <c r="T6" s="1">
        <f t="shared" si="6"/>
        <v>5781.9200716845917</v>
      </c>
      <c r="U6" s="1">
        <f t="shared" si="6"/>
        <v>9852.687407407413</v>
      </c>
      <c r="V6" s="4">
        <f t="shared" si="7"/>
        <v>0.31980871931706251</v>
      </c>
      <c r="W6" s="4">
        <f t="shared" si="7"/>
        <v>0.43080670005016708</v>
      </c>
    </row>
    <row r="7" spans="1:23" x14ac:dyDescent="0.25">
      <c r="A7" s="3" t="s">
        <v>8</v>
      </c>
      <c r="B7" s="13">
        <v>15758</v>
      </c>
      <c r="C7" s="13">
        <v>15784</v>
      </c>
      <c r="D7" s="21">
        <f>Juni!D7/31</f>
        <v>67595312.774193555</v>
      </c>
      <c r="E7" s="21">
        <f>Juni!E7/30</f>
        <v>76125649.099999994</v>
      </c>
      <c r="F7" s="1">
        <f t="shared" si="0"/>
        <v>8530336.3258064389</v>
      </c>
      <c r="G7" s="4">
        <f t="shared" si="1"/>
        <v>0.12619715740206086</v>
      </c>
      <c r="H7" s="21">
        <f>Juni!H7/31</f>
        <v>6165.4516129032254</v>
      </c>
      <c r="I7" s="21">
        <f>Juni!I7/30</f>
        <v>6481.5</v>
      </c>
      <c r="J7" s="21">
        <f>Juni!J7/31</f>
        <v>7863.2580645161288</v>
      </c>
      <c r="K7" s="21">
        <f>Juni!K7/30</f>
        <v>8587.2000000000007</v>
      </c>
      <c r="L7" s="4">
        <f t="shared" si="2"/>
        <v>1.0920664093107595</v>
      </c>
      <c r="M7" s="22">
        <f>Juni!M7/31</f>
        <v>15232.639139784947</v>
      </c>
      <c r="N7" s="22">
        <f>Juni!N7/30</f>
        <v>14681.509999999998</v>
      </c>
      <c r="O7" s="1">
        <f t="shared" si="3"/>
        <v>-551.12913978494907</v>
      </c>
      <c r="P7" s="4">
        <f t="shared" si="4"/>
        <v>-3.6180804568887719E-2</v>
      </c>
      <c r="Q7" s="21">
        <f>Juni!Q7/31</f>
        <v>7863.2580645161288</v>
      </c>
      <c r="R7" s="21">
        <f>Juni!R7/30</f>
        <v>8587.2000000000007</v>
      </c>
      <c r="S7" s="1">
        <f t="shared" si="5"/>
        <v>723.94193548387193</v>
      </c>
      <c r="T7" s="1">
        <f t="shared" si="6"/>
        <v>7369.3810752688187</v>
      </c>
      <c r="U7" s="1">
        <f t="shared" si="6"/>
        <v>6094.3099999999977</v>
      </c>
      <c r="V7" s="4">
        <f t="shared" si="7"/>
        <v>0.48378885678590683</v>
      </c>
      <c r="W7" s="4">
        <f t="shared" si="7"/>
        <v>0.41510103524773667</v>
      </c>
    </row>
    <row r="8" spans="1:23" x14ac:dyDescent="0.25">
      <c r="A8" s="3" t="s">
        <v>7</v>
      </c>
      <c r="B8" s="13">
        <v>6499</v>
      </c>
      <c r="C8" s="13">
        <v>6511</v>
      </c>
      <c r="D8" s="21">
        <f>Juni!D8/31</f>
        <v>22154452.032258064</v>
      </c>
      <c r="E8" s="21">
        <f>Juni!E8/30</f>
        <v>23845449</v>
      </c>
      <c r="F8" s="1">
        <f t="shared" si="0"/>
        <v>1690996.9677419364</v>
      </c>
      <c r="G8" s="4">
        <f t="shared" si="1"/>
        <v>7.6327636778366473E-2</v>
      </c>
      <c r="H8" s="21">
        <f>Juni!H8/31</f>
        <v>2708.9677419354839</v>
      </c>
      <c r="I8" s="21">
        <f>Juni!I8/30</f>
        <v>2926.8666666666668</v>
      </c>
      <c r="J8" s="21">
        <f>Juni!J8/31</f>
        <v>3009.6129032258063</v>
      </c>
      <c r="K8" s="21">
        <f>Juni!K8/30</f>
        <v>3212.7333333333331</v>
      </c>
      <c r="L8" s="4">
        <f t="shared" si="2"/>
        <v>1.0674905499939262</v>
      </c>
      <c r="M8" s="22">
        <f>Juni!M8/31</f>
        <v>5576.9887096774191</v>
      </c>
      <c r="N8" s="22">
        <f>Juni!N8/30</f>
        <v>6144.6883333333335</v>
      </c>
      <c r="O8" s="1">
        <f>N8-M8</f>
        <v>567.69962365591437</v>
      </c>
      <c r="P8" s="4">
        <f t="shared" si="4"/>
        <v>0.10179321730933734</v>
      </c>
      <c r="Q8" s="21">
        <f>Juni!Q8/31</f>
        <v>3009.6129032258063</v>
      </c>
      <c r="R8" s="21">
        <f>Juni!R8/30</f>
        <v>3212.7333333333331</v>
      </c>
      <c r="S8" s="1">
        <f t="shared" si="5"/>
        <v>203.12043010752677</v>
      </c>
      <c r="T8" s="1">
        <f t="shared" si="6"/>
        <v>2567.3758064516128</v>
      </c>
      <c r="U8" s="1">
        <f t="shared" si="6"/>
        <v>2931.9550000000004</v>
      </c>
      <c r="V8" s="4">
        <f t="shared" si="7"/>
        <v>0.46035162344808001</v>
      </c>
      <c r="W8" s="4">
        <f t="shared" si="7"/>
        <v>0.47715276039224125</v>
      </c>
    </row>
    <row r="9" spans="1:23" ht="16.5" x14ac:dyDescent="0.3">
      <c r="A9" s="16" t="s">
        <v>9</v>
      </c>
      <c r="B9" s="17">
        <f>SUM(B2:B8)</f>
        <v>187292</v>
      </c>
      <c r="C9" s="17">
        <f>SUM(C2:C8)</f>
        <v>187700</v>
      </c>
      <c r="D9" s="17">
        <f>SUM(D2:D8)</f>
        <v>840504085.87096775</v>
      </c>
      <c r="E9" s="17">
        <f>SUM(E2:E8)</f>
        <v>923333473.4333334</v>
      </c>
      <c r="F9" s="10"/>
      <c r="G9" s="11"/>
      <c r="H9" s="17">
        <f>SUM(H2:H8)</f>
        <v>84621.387096774197</v>
      </c>
      <c r="I9" s="17">
        <f>SUM(I2:I8)</f>
        <v>91910.8</v>
      </c>
      <c r="J9" s="17">
        <f>SUM(J2:J8)</f>
        <v>101979.64516129032</v>
      </c>
      <c r="K9" s="17">
        <f>SUM(K2:K8)</f>
        <v>111464.33333333333</v>
      </c>
      <c r="L9" s="9"/>
      <c r="M9" s="17">
        <f>SUM(M2:M8)+2472</f>
        <v>173614.32709677418</v>
      </c>
      <c r="N9" s="17">
        <f>SUM(N2:N8)+2427</f>
        <v>187163.07733333332</v>
      </c>
      <c r="O9" s="8"/>
      <c r="P9" s="8"/>
      <c r="Q9" s="17">
        <f>SUM(Q2:Q8)+2129</f>
        <v>104108.64516129032</v>
      </c>
      <c r="R9" s="17">
        <f>SUM(R2:R8)+2486</f>
        <v>113950.33333333333</v>
      </c>
      <c r="S9" s="10"/>
      <c r="T9" s="17">
        <f>SUM(T2:T8)+343</f>
        <v>69505.681935483881</v>
      </c>
      <c r="U9" s="17">
        <f>SUM(U2:U8)+59</f>
        <v>73330.743999999992</v>
      </c>
      <c r="V9" s="20">
        <f>SUM(M9-Q9)/M9</f>
        <v>0.40034531192083461</v>
      </c>
      <c r="W9" s="20">
        <f>SUM(N9-R9)/N9</f>
        <v>0.39117087110942139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3C7F3-388C-4FA5-81FF-F2445C9CBF40}">
  <dimension ref="A1:W9"/>
  <sheetViews>
    <sheetView zoomScale="75" workbookViewId="0">
      <selection activeCell="A10" sqref="A10:XFD27"/>
    </sheetView>
  </sheetViews>
  <sheetFormatPr defaultRowHeight="15.75" x14ac:dyDescent="0.25"/>
  <cols>
    <col min="1" max="1" width="11.125" bestFit="1" customWidth="1"/>
    <col min="2" max="2" width="27.875" bestFit="1" customWidth="1"/>
    <col min="3" max="3" width="35.625" bestFit="1" customWidth="1"/>
    <col min="4" max="5" width="33" bestFit="1" customWidth="1"/>
    <col min="6" max="6" width="24" bestFit="1" customWidth="1"/>
    <col min="7" max="7" width="27.875" bestFit="1" customWidth="1"/>
    <col min="8" max="11" width="33" bestFit="1" customWidth="1"/>
    <col min="12" max="12" width="25.25" bestFit="1" customWidth="1"/>
    <col min="13" max="14" width="33" bestFit="1" customWidth="1"/>
    <col min="15" max="15" width="30.5" bestFit="1" customWidth="1"/>
    <col min="16" max="16" width="44.625" bestFit="1" customWidth="1"/>
    <col min="17" max="18" width="29.125" bestFit="1" customWidth="1"/>
    <col min="19" max="19" width="25.25" bestFit="1" customWidth="1"/>
    <col min="20" max="21" width="18.875" bestFit="1" customWidth="1"/>
    <col min="22" max="22" width="31.75" bestFit="1" customWidth="1"/>
    <col min="23" max="23" width="33" bestFit="1" customWidth="1"/>
  </cols>
  <sheetData>
    <row r="1" spans="1:23" x14ac:dyDescent="0.25">
      <c r="A1" s="15" t="s">
        <v>0</v>
      </c>
      <c r="B1" s="15" t="s">
        <v>71</v>
      </c>
      <c r="C1" s="15" t="s">
        <v>73</v>
      </c>
      <c r="D1" s="15" t="s">
        <v>63</v>
      </c>
      <c r="E1" s="15" t="s">
        <v>72</v>
      </c>
      <c r="F1" s="15" t="s">
        <v>11</v>
      </c>
      <c r="G1" s="15" t="s">
        <v>12</v>
      </c>
      <c r="H1" s="15" t="s">
        <v>64</v>
      </c>
      <c r="I1" s="15" t="s">
        <v>74</v>
      </c>
      <c r="J1" s="15" t="s">
        <v>65</v>
      </c>
      <c r="K1" s="15" t="s">
        <v>75</v>
      </c>
      <c r="L1" s="15" t="s">
        <v>19</v>
      </c>
      <c r="M1" s="15" t="s">
        <v>66</v>
      </c>
      <c r="N1" s="15" t="s">
        <v>76</v>
      </c>
      <c r="O1" s="15" t="s">
        <v>22</v>
      </c>
      <c r="P1" s="15" t="s">
        <v>23</v>
      </c>
      <c r="Q1" s="15" t="s">
        <v>67</v>
      </c>
      <c r="R1" s="15" t="s">
        <v>77</v>
      </c>
      <c r="S1" s="15" t="s">
        <v>26</v>
      </c>
      <c r="T1" s="15" t="s">
        <v>68</v>
      </c>
      <c r="U1" s="15" t="s">
        <v>78</v>
      </c>
      <c r="V1" s="15" t="s">
        <v>79</v>
      </c>
      <c r="W1" s="15" t="s">
        <v>80</v>
      </c>
    </row>
    <row r="2" spans="1:23" x14ac:dyDescent="0.25">
      <c r="A2" s="3" t="s">
        <v>2</v>
      </c>
      <c r="B2" s="13">
        <v>46795</v>
      </c>
      <c r="C2" s="13">
        <v>46876</v>
      </c>
      <c r="D2" s="21">
        <v>7680966016</v>
      </c>
      <c r="E2" s="21">
        <v>7306304560</v>
      </c>
      <c r="F2" s="1">
        <f>E2-D2</f>
        <v>-374661456</v>
      </c>
      <c r="G2" s="4">
        <f>F2/D2</f>
        <v>-4.8777908302100735E-2</v>
      </c>
      <c r="H2" s="21">
        <v>691626</v>
      </c>
      <c r="I2" s="21">
        <v>651817</v>
      </c>
      <c r="J2" s="21">
        <v>883018</v>
      </c>
      <c r="K2" s="21">
        <v>837328</v>
      </c>
      <c r="L2" s="4">
        <f>K2/J2</f>
        <v>0.94825700042354744</v>
      </c>
      <c r="M2" s="22">
        <v>1489842.2699999996</v>
      </c>
      <c r="N2" s="22">
        <v>1438402.5199999996</v>
      </c>
      <c r="O2" s="1">
        <f>N2-M2</f>
        <v>-51439.75</v>
      </c>
      <c r="P2" s="4">
        <f>O2/M2</f>
        <v>-3.4526977141009711E-2</v>
      </c>
      <c r="Q2" s="21">
        <v>883018</v>
      </c>
      <c r="R2" s="21">
        <v>837328</v>
      </c>
      <c r="S2" s="1">
        <f>R2-Q2</f>
        <v>-45690</v>
      </c>
      <c r="T2" s="1">
        <f>M2-Q2</f>
        <v>606824.26999999955</v>
      </c>
      <c r="U2" s="1">
        <f>N2-R2</f>
        <v>601074.51999999955</v>
      </c>
      <c r="V2" s="4">
        <f>T2/M2</f>
        <v>0.40730772795163056</v>
      </c>
      <c r="W2" s="4">
        <f>U2/N2</f>
        <v>0.41787643697954568</v>
      </c>
    </row>
    <row r="3" spans="1:23" x14ac:dyDescent="0.25">
      <c r="A3" s="3" t="s">
        <v>6</v>
      </c>
      <c r="B3" s="13">
        <v>35355</v>
      </c>
      <c r="C3" s="13">
        <v>35660</v>
      </c>
      <c r="D3" s="21">
        <v>5399063040</v>
      </c>
      <c r="E3" s="21">
        <v>5212035867</v>
      </c>
      <c r="F3" s="1">
        <f t="shared" ref="F3:F8" si="0">E3-D3</f>
        <v>-187027173</v>
      </c>
      <c r="G3" s="4">
        <f t="shared" ref="G3:G8" si="1">F3/D3</f>
        <v>-3.4640672208191142E-2</v>
      </c>
      <c r="H3" s="21">
        <v>486671</v>
      </c>
      <c r="I3" s="21">
        <v>468797</v>
      </c>
      <c r="J3" s="21">
        <v>616495</v>
      </c>
      <c r="K3" s="21">
        <v>594175</v>
      </c>
      <c r="L3" s="4">
        <f t="shared" ref="L3:L8" si="2">K3/J3</f>
        <v>0.96379532680719227</v>
      </c>
      <c r="M3" s="22">
        <v>1024484.5100000001</v>
      </c>
      <c r="N3" s="22">
        <v>989099.22</v>
      </c>
      <c r="O3" s="1">
        <f t="shared" ref="O3:O7" si="3">N3-M3</f>
        <v>-35385.290000000154</v>
      </c>
      <c r="P3" s="4">
        <f t="shared" ref="P3:P8" si="4">O3/M3</f>
        <v>-3.4539604703247441E-2</v>
      </c>
      <c r="Q3" s="21">
        <v>616495</v>
      </c>
      <c r="R3" s="21">
        <v>594175</v>
      </c>
      <c r="S3" s="1">
        <f t="shared" ref="S3:S8" si="5">R3-Q3</f>
        <v>-22320</v>
      </c>
      <c r="T3" s="1">
        <f t="shared" ref="T3:U8" si="6">M3-Q3</f>
        <v>407989.51000000013</v>
      </c>
      <c r="U3" s="1">
        <f t="shared" si="6"/>
        <v>394924.22</v>
      </c>
      <c r="V3" s="4">
        <f t="shared" ref="V3:W8" si="7">T3/M3</f>
        <v>0.39823882744698608</v>
      </c>
      <c r="W3" s="4">
        <f t="shared" si="7"/>
        <v>0.39927664688685122</v>
      </c>
    </row>
    <row r="4" spans="1:23" x14ac:dyDescent="0.25">
      <c r="A4" s="3" t="s">
        <v>5</v>
      </c>
      <c r="B4" s="13">
        <v>33771</v>
      </c>
      <c r="C4" s="13">
        <v>33741</v>
      </c>
      <c r="D4" s="21">
        <v>4456953081</v>
      </c>
      <c r="E4" s="21">
        <v>4182682777</v>
      </c>
      <c r="F4" s="1">
        <f t="shared" si="0"/>
        <v>-274270304</v>
      </c>
      <c r="G4" s="4">
        <f t="shared" si="1"/>
        <v>-6.1537624250346021E-2</v>
      </c>
      <c r="H4" s="21">
        <v>549075</v>
      </c>
      <c r="I4" s="21">
        <v>516678</v>
      </c>
      <c r="J4" s="21">
        <v>614079</v>
      </c>
      <c r="K4" s="21">
        <v>579111</v>
      </c>
      <c r="L4" s="4">
        <f t="shared" si="2"/>
        <v>0.94305618658185675</v>
      </c>
      <c r="M4" s="22">
        <v>953274.19</v>
      </c>
      <c r="N4" s="22">
        <v>1052872.7700000005</v>
      </c>
      <c r="O4" s="1">
        <f t="shared" si="3"/>
        <v>99598.58000000054</v>
      </c>
      <c r="P4" s="4">
        <f t="shared" si="4"/>
        <v>0.10448051677555703</v>
      </c>
      <c r="Q4" s="21">
        <v>614079</v>
      </c>
      <c r="R4" s="21">
        <v>579111</v>
      </c>
      <c r="S4" s="1">
        <f t="shared" si="5"/>
        <v>-34968</v>
      </c>
      <c r="T4" s="1">
        <f t="shared" si="6"/>
        <v>339195.18999999994</v>
      </c>
      <c r="U4" s="1">
        <f t="shared" si="6"/>
        <v>473761.77000000048</v>
      </c>
      <c r="V4" s="4">
        <f t="shared" si="7"/>
        <v>0.35582122495102902</v>
      </c>
      <c r="W4" s="4">
        <f t="shared" si="7"/>
        <v>0.44997057906626292</v>
      </c>
    </row>
    <row r="5" spans="1:23" x14ac:dyDescent="0.25">
      <c r="A5" s="3" t="s">
        <v>3</v>
      </c>
      <c r="B5" s="13">
        <v>28239</v>
      </c>
      <c r="C5" s="13">
        <v>28246</v>
      </c>
      <c r="D5" s="21">
        <v>4006767595</v>
      </c>
      <c r="E5" s="21">
        <v>3871254574</v>
      </c>
      <c r="F5" s="1">
        <f t="shared" si="0"/>
        <v>-135513021</v>
      </c>
      <c r="G5" s="4">
        <f t="shared" si="1"/>
        <v>-3.3821033485721796E-2</v>
      </c>
      <c r="H5" s="21">
        <v>411676</v>
      </c>
      <c r="I5" s="21">
        <v>382740</v>
      </c>
      <c r="J5" s="21">
        <v>485811</v>
      </c>
      <c r="K5" s="21">
        <v>460352</v>
      </c>
      <c r="L5" s="4">
        <f t="shared" si="2"/>
        <v>0.94759484655555348</v>
      </c>
      <c r="M5" s="22">
        <v>763585.77777777775</v>
      </c>
      <c r="N5" s="22">
        <v>776358.37777777773</v>
      </c>
      <c r="O5" s="1">
        <f t="shared" si="3"/>
        <v>12772.599999999977</v>
      </c>
      <c r="P5" s="4">
        <f t="shared" si="4"/>
        <v>1.6727131871381081E-2</v>
      </c>
      <c r="Q5" s="21">
        <v>485811</v>
      </c>
      <c r="R5" s="21">
        <v>460352</v>
      </c>
      <c r="S5" s="1">
        <f t="shared" si="5"/>
        <v>-25459</v>
      </c>
      <c r="T5" s="1">
        <f t="shared" si="6"/>
        <v>277774.77777777775</v>
      </c>
      <c r="U5" s="1">
        <f t="shared" si="6"/>
        <v>316006.37777777773</v>
      </c>
      <c r="V5" s="4">
        <f t="shared" si="7"/>
        <v>0.3637767829911272</v>
      </c>
      <c r="W5" s="4">
        <f t="shared" si="7"/>
        <v>0.40703673306431476</v>
      </c>
    </row>
    <row r="6" spans="1:23" x14ac:dyDescent="0.25">
      <c r="A6" s="3" t="s">
        <v>4</v>
      </c>
      <c r="B6" s="13">
        <v>21245</v>
      </c>
      <c r="C6" s="13">
        <v>21240</v>
      </c>
      <c r="D6" s="21">
        <v>3157121528</v>
      </c>
      <c r="E6" s="21">
        <v>3006428241</v>
      </c>
      <c r="F6" s="1">
        <f t="shared" si="0"/>
        <v>-150693287</v>
      </c>
      <c r="G6" s="4">
        <f t="shared" si="1"/>
        <v>-4.7731227849015512E-2</v>
      </c>
      <c r="H6" s="21">
        <v>336025</v>
      </c>
      <c r="I6" s="21">
        <v>324136</v>
      </c>
      <c r="J6" s="21">
        <v>390529</v>
      </c>
      <c r="K6" s="21">
        <v>374982</v>
      </c>
      <c r="L6" s="4">
        <f t="shared" si="2"/>
        <v>0.96018989626890705</v>
      </c>
      <c r="M6" s="22">
        <v>686109.62222222239</v>
      </c>
      <c r="N6" s="22">
        <v>540866.42222222232</v>
      </c>
      <c r="O6" s="1">
        <f t="shared" si="3"/>
        <v>-145243.20000000007</v>
      </c>
      <c r="P6" s="4">
        <f t="shared" si="4"/>
        <v>-0.21169095330506471</v>
      </c>
      <c r="Q6" s="21">
        <v>390529</v>
      </c>
      <c r="R6" s="21">
        <v>374982</v>
      </c>
      <c r="S6" s="1">
        <f t="shared" si="5"/>
        <v>-15547</v>
      </c>
      <c r="T6" s="1">
        <f t="shared" si="6"/>
        <v>295580.62222222239</v>
      </c>
      <c r="U6" s="1">
        <f t="shared" si="6"/>
        <v>165884.42222222232</v>
      </c>
      <c r="V6" s="4">
        <f t="shared" si="7"/>
        <v>0.43080670005016702</v>
      </c>
      <c r="W6" s="4">
        <f t="shared" si="7"/>
        <v>0.30670127670463238</v>
      </c>
    </row>
    <row r="7" spans="1:23" x14ac:dyDescent="0.25">
      <c r="A7" s="3" t="s">
        <v>8</v>
      </c>
      <c r="B7" s="13">
        <v>15784</v>
      </c>
      <c r="C7" s="13">
        <v>15788</v>
      </c>
      <c r="D7" s="21">
        <v>2283769473</v>
      </c>
      <c r="E7" s="21">
        <v>2224421774</v>
      </c>
      <c r="F7" s="1">
        <f t="shared" si="0"/>
        <v>-59347699</v>
      </c>
      <c r="G7" s="4">
        <f t="shared" si="1"/>
        <v>-2.5986729265646859E-2</v>
      </c>
      <c r="H7" s="21">
        <v>194445</v>
      </c>
      <c r="I7" s="21">
        <v>196797</v>
      </c>
      <c r="J7" s="21">
        <v>257616</v>
      </c>
      <c r="K7" s="21">
        <v>254250</v>
      </c>
      <c r="L7" s="4">
        <f t="shared" si="2"/>
        <v>0.9869340413638904</v>
      </c>
      <c r="M7" s="22">
        <v>440445.29999999993</v>
      </c>
      <c r="N7" s="22">
        <v>420717.48</v>
      </c>
      <c r="O7" s="1">
        <f t="shared" si="3"/>
        <v>-19727.819999999949</v>
      </c>
      <c r="P7" s="4">
        <f t="shared" si="4"/>
        <v>-4.4790624397626565E-2</v>
      </c>
      <c r="Q7" s="21">
        <v>257616</v>
      </c>
      <c r="R7" s="21">
        <v>254250</v>
      </c>
      <c r="S7" s="1">
        <f t="shared" si="5"/>
        <v>-3366</v>
      </c>
      <c r="T7" s="1">
        <f t="shared" si="6"/>
        <v>182829.29999999993</v>
      </c>
      <c r="U7" s="1">
        <f t="shared" si="6"/>
        <v>166467.47999999998</v>
      </c>
      <c r="V7" s="4">
        <f t="shared" si="7"/>
        <v>0.41510103524773667</v>
      </c>
      <c r="W7" s="4">
        <f t="shared" si="7"/>
        <v>0.39567521653723536</v>
      </c>
    </row>
    <row r="8" spans="1:23" x14ac:dyDescent="0.25">
      <c r="A8" s="3" t="s">
        <v>7</v>
      </c>
      <c r="B8" s="13">
        <v>6511</v>
      </c>
      <c r="C8" s="13">
        <v>6533</v>
      </c>
      <c r="D8" s="21">
        <v>715363470</v>
      </c>
      <c r="E8" s="21">
        <v>702022304</v>
      </c>
      <c r="F8" s="1">
        <f t="shared" si="0"/>
        <v>-13341166</v>
      </c>
      <c r="G8" s="4">
        <f t="shared" si="1"/>
        <v>-1.8649492963346313E-2</v>
      </c>
      <c r="H8" s="21">
        <v>87806</v>
      </c>
      <c r="I8" s="21">
        <v>84563</v>
      </c>
      <c r="J8" s="21">
        <v>96382</v>
      </c>
      <c r="K8" s="21">
        <v>93887</v>
      </c>
      <c r="L8" s="4">
        <f t="shared" si="2"/>
        <v>0.97411342366831977</v>
      </c>
      <c r="M8" s="22">
        <v>184340.65</v>
      </c>
      <c r="N8" s="22">
        <v>169971.25</v>
      </c>
      <c r="O8" s="1">
        <f>N8-M8</f>
        <v>-14369.399999999994</v>
      </c>
      <c r="P8" s="4">
        <f t="shared" si="4"/>
        <v>-7.7950251341741467E-2</v>
      </c>
      <c r="Q8" s="21">
        <v>96382</v>
      </c>
      <c r="R8" s="21">
        <v>93887</v>
      </c>
      <c r="S8" s="1">
        <f t="shared" si="5"/>
        <v>-2495</v>
      </c>
      <c r="T8" s="1">
        <f t="shared" si="6"/>
        <v>87958.65</v>
      </c>
      <c r="U8" s="1">
        <f t="shared" si="6"/>
        <v>76084.25</v>
      </c>
      <c r="V8" s="4">
        <f t="shared" si="7"/>
        <v>0.47715276039224119</v>
      </c>
      <c r="W8" s="4">
        <f t="shared" si="7"/>
        <v>0.44763011391632407</v>
      </c>
    </row>
    <row r="9" spans="1:23" ht="16.5" x14ac:dyDescent="0.3">
      <c r="A9" s="16" t="s">
        <v>9</v>
      </c>
      <c r="B9" s="17">
        <f>SUM(B2:B8)</f>
        <v>187700</v>
      </c>
      <c r="C9" s="17">
        <f>SUM(C2:C8)</f>
        <v>188084</v>
      </c>
      <c r="D9" s="17">
        <f>SUM(D2:D8)</f>
        <v>27700004203</v>
      </c>
      <c r="E9" s="17">
        <f>SUM(E2:E8)</f>
        <v>26505150097</v>
      </c>
      <c r="F9" s="10"/>
      <c r="G9" s="11"/>
      <c r="H9" s="17">
        <f>SUM(H2:H8)</f>
        <v>2757324</v>
      </c>
      <c r="I9" s="17">
        <f>SUM(I2:I8)</f>
        <v>2625528</v>
      </c>
      <c r="J9" s="17">
        <f>SUM(J2:J8)</f>
        <v>3343930</v>
      </c>
      <c r="K9" s="17">
        <f>SUM(K2:K8)</f>
        <v>3194085</v>
      </c>
      <c r="L9" s="9"/>
      <c r="M9" s="17">
        <f>SUM(M2:M8)+2427</f>
        <v>5544509.3200000003</v>
      </c>
      <c r="N9" s="17">
        <f>SUM(N2:N8)+3199</f>
        <v>5391487.0399999991</v>
      </c>
      <c r="O9" s="8"/>
      <c r="P9" s="8"/>
      <c r="Q9" s="17">
        <f>SUM(Q2:Q8)+2486</f>
        <v>3346416</v>
      </c>
      <c r="R9" s="17">
        <f>SUM(R2:R8)+2729</f>
        <v>3196814</v>
      </c>
      <c r="S9" s="10"/>
      <c r="T9" s="17">
        <f>SUM(T2:T8)+59</f>
        <v>2198211.3199999998</v>
      </c>
      <c r="U9" s="17">
        <f>SUM(U2:U8)+470</f>
        <v>2194673.04</v>
      </c>
      <c r="V9" s="20">
        <f>SUM(M9-Q9)/M9</f>
        <v>0.39644505818956766</v>
      </c>
      <c r="W9" s="20">
        <f>SUM(N9-R9)/N9</f>
        <v>0.40706265705870998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BC49-AABE-42DA-9579-3FFC4FAD7DB6}">
  <dimension ref="A1:W9"/>
  <sheetViews>
    <sheetView zoomScale="91" workbookViewId="0">
      <selection activeCell="A10" sqref="A10:XFD26"/>
    </sheetView>
  </sheetViews>
  <sheetFormatPr defaultRowHeight="15.75" x14ac:dyDescent="0.25"/>
  <cols>
    <col min="1" max="1" width="11.125" bestFit="1" customWidth="1"/>
    <col min="2" max="2" width="27.875" bestFit="1" customWidth="1"/>
    <col min="3" max="3" width="35.625" bestFit="1" customWidth="1"/>
    <col min="4" max="5" width="33" bestFit="1" customWidth="1"/>
    <col min="6" max="6" width="24" bestFit="1" customWidth="1"/>
    <col min="7" max="7" width="27.875" bestFit="1" customWidth="1"/>
    <col min="8" max="11" width="33" bestFit="1" customWidth="1"/>
    <col min="12" max="12" width="25.25" bestFit="1" customWidth="1"/>
    <col min="13" max="14" width="33" bestFit="1" customWidth="1"/>
    <col min="15" max="15" width="30.5" bestFit="1" customWidth="1"/>
    <col min="16" max="16" width="44.625" bestFit="1" customWidth="1"/>
    <col min="17" max="18" width="29.125" bestFit="1" customWidth="1"/>
    <col min="19" max="19" width="25.25" bestFit="1" customWidth="1"/>
    <col min="20" max="21" width="18.875" bestFit="1" customWidth="1"/>
    <col min="22" max="22" width="31.75" bestFit="1" customWidth="1"/>
    <col min="23" max="23" width="33" bestFit="1" customWidth="1"/>
  </cols>
  <sheetData>
    <row r="1" spans="1:23" x14ac:dyDescent="0.25">
      <c r="A1" s="15" t="s">
        <v>0</v>
      </c>
      <c r="B1" s="15" t="s">
        <v>71</v>
      </c>
      <c r="C1" s="15" t="s">
        <v>73</v>
      </c>
      <c r="D1" s="15" t="s">
        <v>63</v>
      </c>
      <c r="E1" s="15" t="s">
        <v>72</v>
      </c>
      <c r="F1" s="15" t="s">
        <v>11</v>
      </c>
      <c r="G1" s="15" t="s">
        <v>12</v>
      </c>
      <c r="H1" s="15" t="s">
        <v>64</v>
      </c>
      <c r="I1" s="15" t="s">
        <v>74</v>
      </c>
      <c r="J1" s="15" t="s">
        <v>65</v>
      </c>
      <c r="K1" s="15" t="s">
        <v>75</v>
      </c>
      <c r="L1" s="15" t="s">
        <v>19</v>
      </c>
      <c r="M1" s="15" t="s">
        <v>66</v>
      </c>
      <c r="N1" s="15" t="s">
        <v>76</v>
      </c>
      <c r="O1" s="15" t="s">
        <v>22</v>
      </c>
      <c r="P1" s="15" t="s">
        <v>23</v>
      </c>
      <c r="Q1" s="15" t="s">
        <v>67</v>
      </c>
      <c r="R1" s="15" t="s">
        <v>77</v>
      </c>
      <c r="S1" s="15" t="s">
        <v>26</v>
      </c>
      <c r="T1" s="15" t="s">
        <v>68</v>
      </c>
      <c r="U1" s="15" t="s">
        <v>78</v>
      </c>
      <c r="V1" s="15" t="s">
        <v>79</v>
      </c>
      <c r="W1" s="15" t="s">
        <v>80</v>
      </c>
    </row>
    <row r="2" spans="1:23" x14ac:dyDescent="0.25">
      <c r="A2" s="3" t="s">
        <v>2</v>
      </c>
      <c r="B2" s="13">
        <v>46795</v>
      </c>
      <c r="C2" s="13">
        <v>46876</v>
      </c>
      <c r="D2" s="21">
        <f>Juli!D2/30</f>
        <v>256032200.53333333</v>
      </c>
      <c r="E2" s="21">
        <f>Juli!E2/31</f>
        <v>235687243.87096775</v>
      </c>
      <c r="F2" s="1">
        <f>E2-D2</f>
        <v>-20344956.662365586</v>
      </c>
      <c r="G2" s="4">
        <f>F2/D2</f>
        <v>-7.9462491905258753E-2</v>
      </c>
      <c r="H2" s="21">
        <f>Juli!H2/30</f>
        <v>23054.2</v>
      </c>
      <c r="I2" s="21">
        <f>Juli!I2/31</f>
        <v>21026.354838709678</v>
      </c>
      <c r="J2" s="21">
        <f>Juli!J2/30</f>
        <v>29433.933333333334</v>
      </c>
      <c r="K2" s="21">
        <f>Juli!K2/31</f>
        <v>27010.580645161292</v>
      </c>
      <c r="L2" s="4">
        <f>K2/J2</f>
        <v>0.9176680649260136</v>
      </c>
      <c r="M2" s="22">
        <f>Juli!M2/30</f>
        <v>49661.408999999985</v>
      </c>
      <c r="N2" s="22">
        <f>Juli!N2/31</f>
        <v>46400.081290322567</v>
      </c>
      <c r="O2" s="1">
        <f>N2-M2</f>
        <v>-3261.3277096774182</v>
      </c>
      <c r="P2" s="4">
        <f>O2/M2</f>
        <v>-6.5671268200977129E-2</v>
      </c>
      <c r="Q2" s="21">
        <f>Juli!Q2/30</f>
        <v>29433.933333333334</v>
      </c>
      <c r="R2" s="21">
        <f>Juli!R2/31</f>
        <v>27010.580645161292</v>
      </c>
      <c r="S2" s="1">
        <f>R2-Q2</f>
        <v>-2423.3526881720427</v>
      </c>
      <c r="T2" s="1">
        <f>M2-Q2</f>
        <v>20227.475666666651</v>
      </c>
      <c r="U2" s="1">
        <f>N2-R2</f>
        <v>19389.500645161275</v>
      </c>
      <c r="V2" s="4">
        <f>T2/M2</f>
        <v>0.40730772795163056</v>
      </c>
      <c r="W2" s="4">
        <f>U2/N2</f>
        <v>0.41787643697954568</v>
      </c>
    </row>
    <row r="3" spans="1:23" x14ac:dyDescent="0.25">
      <c r="A3" s="3" t="s">
        <v>6</v>
      </c>
      <c r="B3" s="13">
        <v>35355</v>
      </c>
      <c r="C3" s="13">
        <v>35660</v>
      </c>
      <c r="D3" s="21">
        <f>Juli!D3/30</f>
        <v>179968768</v>
      </c>
      <c r="E3" s="21">
        <f>Juli!E3/31</f>
        <v>168130189.25806451</v>
      </c>
      <c r="F3" s="1">
        <f t="shared" ref="F3:F8" si="0">E3-D3</f>
        <v>-11838578.741935492</v>
      </c>
      <c r="G3" s="4">
        <f t="shared" ref="G3:G8" si="1">F3/D3</f>
        <v>-6.5781295685346311E-2</v>
      </c>
      <c r="H3" s="21">
        <f>Juli!H3/30</f>
        <v>16222.366666666667</v>
      </c>
      <c r="I3" s="21">
        <f>Juli!I3/31</f>
        <v>15122.483870967742</v>
      </c>
      <c r="J3" s="21">
        <f>Juli!J3/30</f>
        <v>20549.833333333332</v>
      </c>
      <c r="K3" s="21">
        <f>Juli!K3/31</f>
        <v>19166.935483870966</v>
      </c>
      <c r="L3" s="4">
        <f t="shared" ref="L3:L8" si="2">K3/J3</f>
        <v>0.93270515497470219</v>
      </c>
      <c r="M3" s="22">
        <f>Juli!M3/30</f>
        <v>34149.483666666674</v>
      </c>
      <c r="N3" s="22">
        <f>Juli!N3/31</f>
        <v>31906.426451612901</v>
      </c>
      <c r="O3" s="1">
        <f t="shared" ref="O3:O7" si="3">N3-M3</f>
        <v>-2243.0572150537737</v>
      </c>
      <c r="P3" s="4">
        <f t="shared" ref="P3:P8" si="4">O3/M3</f>
        <v>-6.5683488422497674E-2</v>
      </c>
      <c r="Q3" s="21">
        <f>Juli!Q3/30</f>
        <v>20549.833333333332</v>
      </c>
      <c r="R3" s="21">
        <f>Juli!R3/31</f>
        <v>19166.935483870966</v>
      </c>
      <c r="S3" s="1">
        <f t="shared" ref="S3:S8" si="5">R3-Q3</f>
        <v>-1382.8978494623661</v>
      </c>
      <c r="T3" s="1">
        <f t="shared" ref="T3:U8" si="6">M3-Q3</f>
        <v>13599.650333333342</v>
      </c>
      <c r="U3" s="1">
        <f t="shared" si="6"/>
        <v>12739.490967741935</v>
      </c>
      <c r="V3" s="4">
        <f t="shared" ref="V3:W8" si="7">T3/M3</f>
        <v>0.39823882744698619</v>
      </c>
      <c r="W3" s="4">
        <f t="shared" si="7"/>
        <v>0.39927664688685127</v>
      </c>
    </row>
    <row r="4" spans="1:23" x14ac:dyDescent="0.25">
      <c r="A4" s="3" t="s">
        <v>5</v>
      </c>
      <c r="B4" s="13">
        <v>33771</v>
      </c>
      <c r="C4" s="13">
        <v>33741</v>
      </c>
      <c r="D4" s="21">
        <f>Juli!D4/30</f>
        <v>148565102.69999999</v>
      </c>
      <c r="E4" s="21">
        <f>Juli!E4/31</f>
        <v>134925250.87096775</v>
      </c>
      <c r="F4" s="1">
        <f t="shared" si="0"/>
        <v>-13639851.829032242</v>
      </c>
      <c r="G4" s="4">
        <f t="shared" si="1"/>
        <v>-9.1810604113237979E-2</v>
      </c>
      <c r="H4" s="21">
        <f>Juli!H4/30</f>
        <v>18302.5</v>
      </c>
      <c r="I4" s="21">
        <f>Juli!I4/31</f>
        <v>16667.032258064515</v>
      </c>
      <c r="J4" s="21">
        <f>Juli!J4/30</f>
        <v>20469.3</v>
      </c>
      <c r="K4" s="21">
        <f>Juli!K4/31</f>
        <v>18681</v>
      </c>
      <c r="L4" s="4">
        <f t="shared" si="2"/>
        <v>0.91263501927276458</v>
      </c>
      <c r="M4" s="22">
        <f>Juli!M4/30</f>
        <v>31775.80633333333</v>
      </c>
      <c r="N4" s="22">
        <f>Juli!N4/31</f>
        <v>33963.637741935498</v>
      </c>
      <c r="O4" s="1">
        <f t="shared" si="3"/>
        <v>2187.8314086021674</v>
      </c>
      <c r="P4" s="4">
        <f t="shared" si="4"/>
        <v>6.8852113008603569E-2</v>
      </c>
      <c r="Q4" s="21">
        <f>Juli!Q4/30</f>
        <v>20469.3</v>
      </c>
      <c r="R4" s="21">
        <f>Juli!R4/31</f>
        <v>18681</v>
      </c>
      <c r="S4" s="1">
        <f t="shared" si="5"/>
        <v>-1788.2999999999993</v>
      </c>
      <c r="T4" s="1">
        <f t="shared" si="6"/>
        <v>11306.506333333331</v>
      </c>
      <c r="U4" s="1">
        <f t="shared" si="6"/>
        <v>15282.637741935498</v>
      </c>
      <c r="V4" s="4">
        <f t="shared" si="7"/>
        <v>0.35582122495102902</v>
      </c>
      <c r="W4" s="4">
        <f t="shared" si="7"/>
        <v>0.44997057906626292</v>
      </c>
    </row>
    <row r="5" spans="1:23" x14ac:dyDescent="0.25">
      <c r="A5" s="3" t="s">
        <v>3</v>
      </c>
      <c r="B5" s="13">
        <v>28239</v>
      </c>
      <c r="C5" s="13">
        <v>28246</v>
      </c>
      <c r="D5" s="21">
        <f>Juli!D5/30</f>
        <v>133558919.83333333</v>
      </c>
      <c r="E5" s="21">
        <f>Juli!E5/31</f>
        <v>124879179.80645162</v>
      </c>
      <c r="F5" s="1">
        <f t="shared" si="0"/>
        <v>-8679740.0268817097</v>
      </c>
      <c r="G5" s="4">
        <f t="shared" si="1"/>
        <v>-6.4988096921666183E-2</v>
      </c>
      <c r="H5" s="21">
        <f>Juli!H5/30</f>
        <v>13722.533333333333</v>
      </c>
      <c r="I5" s="21">
        <f>Juli!I5/31</f>
        <v>12346.451612903225</v>
      </c>
      <c r="J5" s="21">
        <f>Juli!J5/30</f>
        <v>16193.7</v>
      </c>
      <c r="K5" s="21">
        <f>Juli!K5/31</f>
        <v>14850.064516129032</v>
      </c>
      <c r="L5" s="4">
        <f t="shared" si="2"/>
        <v>0.91702727086021296</v>
      </c>
      <c r="M5" s="22">
        <f>Juli!M5/30</f>
        <v>25452.859259259258</v>
      </c>
      <c r="N5" s="22">
        <f>Juli!N5/31</f>
        <v>25043.81863799283</v>
      </c>
      <c r="O5" s="1">
        <f t="shared" si="3"/>
        <v>-409.04062126642748</v>
      </c>
      <c r="P5" s="4">
        <f t="shared" si="4"/>
        <v>-1.6070517543824724E-2</v>
      </c>
      <c r="Q5" s="21">
        <f>Juli!Q5/30</f>
        <v>16193.7</v>
      </c>
      <c r="R5" s="21">
        <f>Juli!R5/31</f>
        <v>14850.064516129032</v>
      </c>
      <c r="S5" s="1">
        <f t="shared" si="5"/>
        <v>-1343.6354838709685</v>
      </c>
      <c r="T5" s="1">
        <f t="shared" si="6"/>
        <v>9259.1592592592569</v>
      </c>
      <c r="U5" s="1">
        <f t="shared" si="6"/>
        <v>10193.754121863798</v>
      </c>
      <c r="V5" s="4">
        <f t="shared" si="7"/>
        <v>0.3637767829911272</v>
      </c>
      <c r="W5" s="4">
        <f t="shared" si="7"/>
        <v>0.40703673306431476</v>
      </c>
    </row>
    <row r="6" spans="1:23" x14ac:dyDescent="0.25">
      <c r="A6" s="3" t="s">
        <v>4</v>
      </c>
      <c r="B6" s="13">
        <v>21245</v>
      </c>
      <c r="C6" s="13">
        <v>21240</v>
      </c>
      <c r="D6" s="21">
        <f>Juli!D6/30</f>
        <v>105237384.26666667</v>
      </c>
      <c r="E6" s="21">
        <f>Juli!E6/31</f>
        <v>96981556.161290318</v>
      </c>
      <c r="F6" s="1">
        <f t="shared" si="0"/>
        <v>-8255828.1053763479</v>
      </c>
      <c r="G6" s="4">
        <f t="shared" si="1"/>
        <v>-7.8449575337756983E-2</v>
      </c>
      <c r="H6" s="21">
        <f>Juli!H6/30</f>
        <v>11200.833333333334</v>
      </c>
      <c r="I6" s="21">
        <f>Juli!I6/31</f>
        <v>10456</v>
      </c>
      <c r="J6" s="21">
        <f>Juli!J6/30</f>
        <v>13017.633333333333</v>
      </c>
      <c r="K6" s="21">
        <f>Juli!K6/31</f>
        <v>12096.193548387097</v>
      </c>
      <c r="L6" s="4">
        <f t="shared" si="2"/>
        <v>0.92921602864732944</v>
      </c>
      <c r="M6" s="22">
        <f>Juli!M6/30</f>
        <v>22870.320740740746</v>
      </c>
      <c r="N6" s="22">
        <f>Juli!N6/31</f>
        <v>17447.303942652332</v>
      </c>
      <c r="O6" s="1">
        <f t="shared" si="3"/>
        <v>-5423.0167980884144</v>
      </c>
      <c r="P6" s="4">
        <f t="shared" si="4"/>
        <v>-0.23712027739199815</v>
      </c>
      <c r="Q6" s="21">
        <f>Juli!Q6/30</f>
        <v>13017.633333333333</v>
      </c>
      <c r="R6" s="21">
        <f>Juli!R6/31</f>
        <v>12096.193548387097</v>
      </c>
      <c r="S6" s="1">
        <f t="shared" si="5"/>
        <v>-921.43978494623661</v>
      </c>
      <c r="T6" s="1">
        <f t="shared" si="6"/>
        <v>9852.687407407413</v>
      </c>
      <c r="U6" s="1">
        <f t="shared" si="6"/>
        <v>5351.1103942652353</v>
      </c>
      <c r="V6" s="4">
        <f t="shared" si="7"/>
        <v>0.43080670005016708</v>
      </c>
      <c r="W6" s="4">
        <f t="shared" si="7"/>
        <v>0.30670127670463232</v>
      </c>
    </row>
    <row r="7" spans="1:23" x14ac:dyDescent="0.25">
      <c r="A7" s="3" t="s">
        <v>8</v>
      </c>
      <c r="B7" s="13">
        <v>15784</v>
      </c>
      <c r="C7" s="13">
        <v>15788</v>
      </c>
      <c r="D7" s="21">
        <f>Juli!D7/30</f>
        <v>76125649.099999994</v>
      </c>
      <c r="E7" s="21">
        <f>Juli!E7/31</f>
        <v>71755541.096774191</v>
      </c>
      <c r="F7" s="1">
        <f t="shared" si="0"/>
        <v>-4370108.0032258034</v>
      </c>
      <c r="G7" s="4">
        <f t="shared" si="1"/>
        <v>-5.7406512192561439E-2</v>
      </c>
      <c r="H7" s="21">
        <f>Juli!H7/30</f>
        <v>6481.5</v>
      </c>
      <c r="I7" s="21">
        <f>Juli!I7/31</f>
        <v>6348.2903225806449</v>
      </c>
      <c r="J7" s="21">
        <f>Juli!J7/30</f>
        <v>8587.2000000000007</v>
      </c>
      <c r="K7" s="21">
        <f>Juli!K7/31</f>
        <v>8201.6129032258068</v>
      </c>
      <c r="L7" s="4">
        <f t="shared" si="2"/>
        <v>0.95509745938441004</v>
      </c>
      <c r="M7" s="22">
        <f>Juli!M7/30</f>
        <v>14681.509999999998</v>
      </c>
      <c r="N7" s="22">
        <f>Juli!N7/31</f>
        <v>13571.531612903225</v>
      </c>
      <c r="O7" s="1">
        <f t="shared" si="3"/>
        <v>-1109.9783870967731</v>
      </c>
      <c r="P7" s="4">
        <f t="shared" si="4"/>
        <v>-7.5603830062219296E-2</v>
      </c>
      <c r="Q7" s="21">
        <f>Juli!Q7/30</f>
        <v>8587.2000000000007</v>
      </c>
      <c r="R7" s="21">
        <f>Juli!R7/31</f>
        <v>8201.6129032258068</v>
      </c>
      <c r="S7" s="1">
        <f t="shared" si="5"/>
        <v>-385.58709677419392</v>
      </c>
      <c r="T7" s="1">
        <f t="shared" si="6"/>
        <v>6094.3099999999977</v>
      </c>
      <c r="U7" s="1">
        <f t="shared" si="6"/>
        <v>5369.9187096774185</v>
      </c>
      <c r="V7" s="4">
        <f t="shared" si="7"/>
        <v>0.41510103524773667</v>
      </c>
      <c r="W7" s="4">
        <f t="shared" si="7"/>
        <v>0.39567521653723536</v>
      </c>
    </row>
    <row r="8" spans="1:23" x14ac:dyDescent="0.25">
      <c r="A8" s="3" t="s">
        <v>7</v>
      </c>
      <c r="B8" s="13">
        <v>6511</v>
      </c>
      <c r="C8" s="13">
        <v>6533</v>
      </c>
      <c r="D8" s="21">
        <f>Juli!D8/30</f>
        <v>23845449</v>
      </c>
      <c r="E8" s="21">
        <f>Juli!E8/31</f>
        <v>22645880.774193548</v>
      </c>
      <c r="F8" s="1">
        <f t="shared" si="0"/>
        <v>-1199568.2258064523</v>
      </c>
      <c r="G8" s="4">
        <f t="shared" si="1"/>
        <v>-5.0305960932270653E-2</v>
      </c>
      <c r="H8" s="21">
        <f>Juli!H8/30</f>
        <v>2926.8666666666668</v>
      </c>
      <c r="I8" s="21">
        <f>Juli!I8/31</f>
        <v>2727.8387096774195</v>
      </c>
      <c r="J8" s="21">
        <f>Juli!J8/30</f>
        <v>3212.7333333333331</v>
      </c>
      <c r="K8" s="21">
        <f>Juli!K8/31</f>
        <v>3028.6129032258063</v>
      </c>
      <c r="L8" s="4">
        <f t="shared" si="2"/>
        <v>0.94269041000159981</v>
      </c>
      <c r="M8" s="22">
        <f>Juli!M8/30</f>
        <v>6144.6883333333335</v>
      </c>
      <c r="N8" s="22">
        <f>Juli!N8/31</f>
        <v>5482.9435483870966</v>
      </c>
      <c r="O8" s="1">
        <f>N8-M8</f>
        <v>-661.7447849462369</v>
      </c>
      <c r="P8" s="4">
        <f t="shared" si="4"/>
        <v>-0.10769379162104022</v>
      </c>
      <c r="Q8" s="21">
        <f>Juli!Q8/30</f>
        <v>3212.7333333333331</v>
      </c>
      <c r="R8" s="21">
        <f>Juli!R8/31</f>
        <v>3028.6129032258063</v>
      </c>
      <c r="S8" s="1">
        <f t="shared" si="5"/>
        <v>-184.12043010752677</v>
      </c>
      <c r="T8" s="1">
        <f t="shared" si="6"/>
        <v>2931.9550000000004</v>
      </c>
      <c r="U8" s="1">
        <f t="shared" si="6"/>
        <v>2454.3306451612902</v>
      </c>
      <c r="V8" s="4">
        <f t="shared" si="7"/>
        <v>0.47715276039224125</v>
      </c>
      <c r="W8" s="4">
        <f t="shared" si="7"/>
        <v>0.44763011391632407</v>
      </c>
    </row>
    <row r="9" spans="1:23" ht="16.5" x14ac:dyDescent="0.3">
      <c r="A9" s="16" t="s">
        <v>9</v>
      </c>
      <c r="B9" s="17">
        <f>SUM(B2:B8)</f>
        <v>187700</v>
      </c>
      <c r="C9" s="17">
        <f>SUM(C2:C8)</f>
        <v>188084</v>
      </c>
      <c r="D9" s="17">
        <f>SUM(D2:D8)</f>
        <v>923333473.4333334</v>
      </c>
      <c r="E9" s="17">
        <f>SUM(E2:E8)</f>
        <v>855004841.83870959</v>
      </c>
      <c r="F9" s="10"/>
      <c r="G9" s="11"/>
      <c r="H9" s="17">
        <f>SUM(H2:H8)</f>
        <v>91910.8</v>
      </c>
      <c r="I9" s="17">
        <f>SUM(I2:I8)</f>
        <v>84694.451612903242</v>
      </c>
      <c r="J9" s="17">
        <f>SUM(J2:J8)</f>
        <v>111464.33333333333</v>
      </c>
      <c r="K9" s="17">
        <f>SUM(K2:K8)</f>
        <v>103034.99999999999</v>
      </c>
      <c r="L9" s="9"/>
      <c r="M9" s="17">
        <f>SUM(M2:M8)+2427</f>
        <v>187163.07733333332</v>
      </c>
      <c r="N9" s="17">
        <f>SUM(N2:N8)+3199</f>
        <v>177014.74322580645</v>
      </c>
      <c r="O9" s="8"/>
      <c r="P9" s="8"/>
      <c r="Q9" s="17">
        <f>SUM(Q2:Q8)+2486</f>
        <v>113950.33333333333</v>
      </c>
      <c r="R9" s="17">
        <f>SUM(R2:R8)+2729</f>
        <v>105763.99999999999</v>
      </c>
      <c r="S9" s="10"/>
      <c r="T9" s="17">
        <f>SUM(T2:T8)+59</f>
        <v>73330.743999999992</v>
      </c>
      <c r="U9" s="17">
        <f>SUM(U2:U8)+470</f>
        <v>71250.743225806436</v>
      </c>
      <c r="V9" s="20">
        <f>SUM(M9-Q9)/M9</f>
        <v>0.39117087110942139</v>
      </c>
      <c r="W9" s="20">
        <f>SUM(N9-R9)/N9</f>
        <v>0.40251304454859121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11F3-E22F-4F17-81D1-F93535EAB6C2}">
  <dimension ref="A1:W9"/>
  <sheetViews>
    <sheetView zoomScale="98" zoomScaleNormal="100" workbookViewId="0">
      <selection activeCell="A10" sqref="A10:XFD26"/>
    </sheetView>
  </sheetViews>
  <sheetFormatPr defaultRowHeight="15.75" x14ac:dyDescent="0.25"/>
  <cols>
    <col min="1" max="1" width="11.125" bestFit="1" customWidth="1"/>
    <col min="2" max="2" width="27.875" bestFit="1" customWidth="1"/>
    <col min="3" max="3" width="39.5" bestFit="1" customWidth="1"/>
    <col min="4" max="4" width="33" bestFit="1" customWidth="1"/>
    <col min="5" max="5" width="36.875" bestFit="1" customWidth="1"/>
    <col min="6" max="6" width="24" bestFit="1" customWidth="1"/>
    <col min="7" max="7" width="27.875" bestFit="1" customWidth="1"/>
    <col min="8" max="8" width="33" bestFit="1" customWidth="1"/>
    <col min="9" max="9" width="36.875" bestFit="1" customWidth="1"/>
    <col min="10" max="10" width="33" bestFit="1" customWidth="1"/>
    <col min="11" max="11" width="36.875" bestFit="1" customWidth="1"/>
    <col min="12" max="12" width="25.25" bestFit="1" customWidth="1"/>
    <col min="13" max="13" width="33" bestFit="1" customWidth="1"/>
    <col min="14" max="14" width="36.875" bestFit="1" customWidth="1"/>
    <col min="15" max="15" width="30.5" bestFit="1" customWidth="1"/>
    <col min="16" max="16" width="44.625" bestFit="1" customWidth="1"/>
    <col min="17" max="17" width="29.125" bestFit="1" customWidth="1"/>
    <col min="18" max="18" width="33" bestFit="1" customWidth="1"/>
    <col min="19" max="19" width="25.25" bestFit="1" customWidth="1"/>
    <col min="20" max="20" width="18.875" bestFit="1" customWidth="1"/>
    <col min="21" max="21" width="22.75" bestFit="1" customWidth="1"/>
    <col min="22" max="22" width="31.75" bestFit="1" customWidth="1"/>
    <col min="23" max="23" width="36.875" bestFit="1" customWidth="1"/>
  </cols>
  <sheetData>
    <row r="1" spans="1:23" x14ac:dyDescent="0.25">
      <c r="A1" s="15" t="s">
        <v>0</v>
      </c>
      <c r="B1" s="15" t="s">
        <v>81</v>
      </c>
      <c r="C1" s="15" t="s">
        <v>82</v>
      </c>
      <c r="D1" s="15" t="s">
        <v>72</v>
      </c>
      <c r="E1" s="15" t="s">
        <v>83</v>
      </c>
      <c r="F1" s="15" t="s">
        <v>11</v>
      </c>
      <c r="G1" s="15" t="s">
        <v>12</v>
      </c>
      <c r="H1" s="15" t="s">
        <v>74</v>
      </c>
      <c r="I1" s="15" t="s">
        <v>84</v>
      </c>
      <c r="J1" s="15" t="s">
        <v>75</v>
      </c>
      <c r="K1" s="15" t="s">
        <v>85</v>
      </c>
      <c r="L1" s="15" t="s">
        <v>19</v>
      </c>
      <c r="M1" s="15" t="s">
        <v>76</v>
      </c>
      <c r="N1" s="15" t="s">
        <v>86</v>
      </c>
      <c r="O1" s="15" t="s">
        <v>22</v>
      </c>
      <c r="P1" s="15" t="s">
        <v>23</v>
      </c>
      <c r="Q1" s="15" t="s">
        <v>77</v>
      </c>
      <c r="R1" s="15" t="s">
        <v>87</v>
      </c>
      <c r="S1" s="15" t="s">
        <v>26</v>
      </c>
      <c r="T1" s="15" t="s">
        <v>78</v>
      </c>
      <c r="U1" s="15" t="s">
        <v>88</v>
      </c>
      <c r="V1" s="15" t="s">
        <v>89</v>
      </c>
      <c r="W1" s="15" t="s">
        <v>90</v>
      </c>
    </row>
    <row r="2" spans="1:23" x14ac:dyDescent="0.25">
      <c r="A2" s="3" t="s">
        <v>2</v>
      </c>
      <c r="B2" s="13">
        <v>46876</v>
      </c>
      <c r="C2" s="13">
        <v>46903</v>
      </c>
      <c r="D2" s="21">
        <v>7306304560</v>
      </c>
      <c r="E2" s="21">
        <v>7942157180</v>
      </c>
      <c r="F2" s="1">
        <f>E2-D2</f>
        <v>635852620</v>
      </c>
      <c r="G2" s="4">
        <f>F2/D2</f>
        <v>8.7027937964852642E-2</v>
      </c>
      <c r="H2" s="21">
        <v>651817</v>
      </c>
      <c r="I2" s="21">
        <v>704713</v>
      </c>
      <c r="J2" s="21">
        <v>837328</v>
      </c>
      <c r="K2" s="21">
        <v>907025</v>
      </c>
      <c r="L2" s="4">
        <f>K2/J2</f>
        <v>1.083237393231804</v>
      </c>
      <c r="M2" s="22">
        <v>1438402.5199999996</v>
      </c>
      <c r="N2" s="22">
        <v>1364344.2300000002</v>
      </c>
      <c r="O2" s="1">
        <f>N2-M2</f>
        <v>-74058.289999999339</v>
      </c>
      <c r="P2" s="4">
        <f>O2/M2</f>
        <v>-5.1486485159939345E-2</v>
      </c>
      <c r="Q2" s="21">
        <v>837328</v>
      </c>
      <c r="R2" s="21">
        <v>907025</v>
      </c>
      <c r="S2" s="1">
        <f>R2-Q2</f>
        <v>69697</v>
      </c>
      <c r="T2" s="1">
        <f>M2-Q2</f>
        <v>601074.51999999955</v>
      </c>
      <c r="U2" s="1">
        <f>N2-R2</f>
        <v>457319.23000000021</v>
      </c>
      <c r="V2" s="4">
        <f>T2/M2</f>
        <v>0.41787643697954568</v>
      </c>
      <c r="W2" s="4">
        <f>U2/N2</f>
        <v>0.33519343575044852</v>
      </c>
    </row>
    <row r="3" spans="1:23" x14ac:dyDescent="0.25">
      <c r="A3" s="3" t="s">
        <v>6</v>
      </c>
      <c r="B3" s="13">
        <v>35660</v>
      </c>
      <c r="C3" s="13">
        <v>36044</v>
      </c>
      <c r="D3" s="21">
        <v>5212035867</v>
      </c>
      <c r="E3" s="21">
        <v>5941928114</v>
      </c>
      <c r="F3" s="1">
        <f t="shared" ref="F3:F8" si="0">E3-D3</f>
        <v>729892247</v>
      </c>
      <c r="G3" s="4">
        <f t="shared" ref="G3:G8" si="1">F3/D3</f>
        <v>0.14003975905486607</v>
      </c>
      <c r="H3" s="21">
        <v>468797</v>
      </c>
      <c r="I3" s="21">
        <v>523995</v>
      </c>
      <c r="J3" s="21">
        <v>594175</v>
      </c>
      <c r="K3" s="21">
        <v>670403</v>
      </c>
      <c r="L3" s="4">
        <f t="shared" ref="L3:L8" si="2">K3/J3</f>
        <v>1.1282921698152901</v>
      </c>
      <c r="M3" s="22">
        <v>989099.22</v>
      </c>
      <c r="N3" s="22">
        <v>1141658.02</v>
      </c>
      <c r="O3" s="1">
        <f t="shared" ref="O3:O7" si="3">N3-M3</f>
        <v>152558.80000000005</v>
      </c>
      <c r="P3" s="4">
        <f t="shared" ref="P3:P8" si="4">O3/M3</f>
        <v>0.15424013780943033</v>
      </c>
      <c r="Q3" s="21">
        <v>594175</v>
      </c>
      <c r="R3" s="21">
        <v>670403</v>
      </c>
      <c r="S3" s="1">
        <f t="shared" ref="S3:S8" si="5">R3-Q3</f>
        <v>76228</v>
      </c>
      <c r="T3" s="1">
        <f t="shared" ref="T3:U8" si="6">M3-Q3</f>
        <v>394924.22</v>
      </c>
      <c r="U3" s="1">
        <f t="shared" si="6"/>
        <v>471255.02</v>
      </c>
      <c r="V3" s="4">
        <f t="shared" ref="V3:W8" si="7">T3/M3</f>
        <v>0.39927664688685122</v>
      </c>
      <c r="W3" s="4">
        <f t="shared" si="7"/>
        <v>0.41278124599869231</v>
      </c>
    </row>
    <row r="4" spans="1:23" x14ac:dyDescent="0.25">
      <c r="A4" s="3" t="s">
        <v>5</v>
      </c>
      <c r="B4" s="13">
        <v>33741</v>
      </c>
      <c r="C4" s="13">
        <v>33684</v>
      </c>
      <c r="D4" s="21">
        <v>4182682777</v>
      </c>
      <c r="E4" s="21">
        <v>4822493871</v>
      </c>
      <c r="F4" s="1">
        <f t="shared" si="0"/>
        <v>639811094</v>
      </c>
      <c r="G4" s="4">
        <f t="shared" si="1"/>
        <v>0.1529666790697668</v>
      </c>
      <c r="H4" s="21">
        <v>516678</v>
      </c>
      <c r="I4" s="21">
        <v>585037</v>
      </c>
      <c r="J4" s="21">
        <v>579111</v>
      </c>
      <c r="K4" s="21">
        <v>658857</v>
      </c>
      <c r="L4" s="4">
        <f t="shared" si="2"/>
        <v>1.1377041707030258</v>
      </c>
      <c r="M4" s="22">
        <v>1052872.7700000005</v>
      </c>
      <c r="N4" s="22">
        <v>1075867.9800000002</v>
      </c>
      <c r="O4" s="1">
        <f t="shared" si="3"/>
        <v>22995.20999999973</v>
      </c>
      <c r="P4" s="4">
        <f t="shared" si="4"/>
        <v>2.1840445166038173E-2</v>
      </c>
      <c r="Q4" s="21">
        <v>579111</v>
      </c>
      <c r="R4" s="21">
        <v>658857</v>
      </c>
      <c r="S4" s="1">
        <f t="shared" si="5"/>
        <v>79746</v>
      </c>
      <c r="T4" s="1">
        <f t="shared" si="6"/>
        <v>473761.77000000048</v>
      </c>
      <c r="U4" s="1">
        <f t="shared" si="6"/>
        <v>417010.98000000021</v>
      </c>
      <c r="V4" s="4">
        <f t="shared" si="7"/>
        <v>0.44997057906626292</v>
      </c>
      <c r="W4" s="4">
        <f t="shared" si="7"/>
        <v>0.38760423002829786</v>
      </c>
    </row>
    <row r="5" spans="1:23" x14ac:dyDescent="0.25">
      <c r="A5" s="3" t="s">
        <v>3</v>
      </c>
      <c r="B5" s="13">
        <v>28246</v>
      </c>
      <c r="C5" s="13">
        <v>28286</v>
      </c>
      <c r="D5" s="21">
        <v>3871254574</v>
      </c>
      <c r="E5" s="21">
        <v>4274111783</v>
      </c>
      <c r="F5" s="1">
        <f t="shared" si="0"/>
        <v>402857209</v>
      </c>
      <c r="G5" s="4">
        <f t="shared" si="1"/>
        <v>0.10406373471423375</v>
      </c>
      <c r="H5" s="21">
        <v>382740</v>
      </c>
      <c r="I5" s="21">
        <v>430684</v>
      </c>
      <c r="J5" s="21">
        <v>460352</v>
      </c>
      <c r="K5" s="21">
        <v>514265</v>
      </c>
      <c r="L5" s="4">
        <f t="shared" si="2"/>
        <v>1.1171125573474212</v>
      </c>
      <c r="M5" s="22">
        <v>776358.37777777773</v>
      </c>
      <c r="N5" s="22">
        <v>788985</v>
      </c>
      <c r="O5" s="1">
        <f t="shared" si="3"/>
        <v>12626.622222222271</v>
      </c>
      <c r="P5" s="4">
        <f t="shared" si="4"/>
        <v>1.6263909276491989E-2</v>
      </c>
      <c r="Q5" s="21">
        <v>460352</v>
      </c>
      <c r="R5" s="21">
        <v>514265</v>
      </c>
      <c r="S5" s="1">
        <f t="shared" si="5"/>
        <v>53913</v>
      </c>
      <c r="T5" s="1">
        <f t="shared" si="6"/>
        <v>316006.37777777773</v>
      </c>
      <c r="U5" s="1">
        <f t="shared" si="6"/>
        <v>274720</v>
      </c>
      <c r="V5" s="4">
        <f t="shared" si="7"/>
        <v>0.40703673306431476</v>
      </c>
      <c r="W5" s="4">
        <f t="shared" si="7"/>
        <v>0.34819419887577074</v>
      </c>
    </row>
    <row r="6" spans="1:23" x14ac:dyDescent="0.25">
      <c r="A6" s="3" t="s">
        <v>4</v>
      </c>
      <c r="B6" s="13">
        <v>21240</v>
      </c>
      <c r="C6" s="13">
        <v>21267</v>
      </c>
      <c r="D6" s="21">
        <v>3006428241</v>
      </c>
      <c r="E6" s="21">
        <v>3256662802</v>
      </c>
      <c r="F6" s="1">
        <f t="shared" si="0"/>
        <v>250234561</v>
      </c>
      <c r="G6" s="4">
        <f t="shared" si="1"/>
        <v>8.3233172702225161E-2</v>
      </c>
      <c r="H6" s="21">
        <v>324136</v>
      </c>
      <c r="I6" s="21">
        <v>350395</v>
      </c>
      <c r="J6" s="21">
        <v>374982</v>
      </c>
      <c r="K6" s="21">
        <v>404899</v>
      </c>
      <c r="L6" s="4">
        <f t="shared" si="2"/>
        <v>1.0797824962264855</v>
      </c>
      <c r="M6" s="22">
        <v>540866.42222222232</v>
      </c>
      <c r="N6" s="22">
        <v>549060.87000000011</v>
      </c>
      <c r="O6" s="1">
        <f t="shared" si="3"/>
        <v>8194.4477777777938</v>
      </c>
      <c r="P6" s="4">
        <f t="shared" si="4"/>
        <v>1.5150594381714075E-2</v>
      </c>
      <c r="Q6" s="21">
        <v>374982</v>
      </c>
      <c r="R6" s="21">
        <v>404899</v>
      </c>
      <c r="S6" s="1">
        <f t="shared" si="5"/>
        <v>29917</v>
      </c>
      <c r="T6" s="1">
        <f t="shared" si="6"/>
        <v>165884.42222222232</v>
      </c>
      <c r="U6" s="1">
        <f t="shared" si="6"/>
        <v>144161.87000000011</v>
      </c>
      <c r="V6" s="4">
        <f t="shared" si="7"/>
        <v>0.30670127670463238</v>
      </c>
      <c r="W6" s="4">
        <f t="shared" si="7"/>
        <v>0.26256081588913827</v>
      </c>
    </row>
    <row r="7" spans="1:23" x14ac:dyDescent="0.25">
      <c r="A7" s="3" t="s">
        <v>8</v>
      </c>
      <c r="B7" s="13">
        <v>15788</v>
      </c>
      <c r="C7" s="13">
        <v>15747</v>
      </c>
      <c r="D7" s="21">
        <v>2224421774</v>
      </c>
      <c r="E7" s="21">
        <v>2447616484</v>
      </c>
      <c r="F7" s="1">
        <f t="shared" si="0"/>
        <v>223194710</v>
      </c>
      <c r="G7" s="4">
        <f t="shared" si="1"/>
        <v>0.10033830481646777</v>
      </c>
      <c r="H7" s="21">
        <v>196797</v>
      </c>
      <c r="I7" s="21">
        <v>200364</v>
      </c>
      <c r="J7" s="21">
        <v>254250</v>
      </c>
      <c r="K7" s="21">
        <v>272363</v>
      </c>
      <c r="L7" s="4">
        <f t="shared" si="2"/>
        <v>1.0712409046214355</v>
      </c>
      <c r="M7" s="22">
        <v>420717.48</v>
      </c>
      <c r="N7" s="22">
        <v>481290.70000000007</v>
      </c>
      <c r="O7" s="1">
        <f t="shared" si="3"/>
        <v>60573.220000000088</v>
      </c>
      <c r="P7" s="4">
        <f t="shared" si="4"/>
        <v>0.1439760002365485</v>
      </c>
      <c r="Q7" s="21">
        <v>254250</v>
      </c>
      <c r="R7" s="21">
        <v>272363</v>
      </c>
      <c r="S7" s="1">
        <f t="shared" si="5"/>
        <v>18113</v>
      </c>
      <c r="T7" s="1">
        <f t="shared" si="6"/>
        <v>166467.47999999998</v>
      </c>
      <c r="U7" s="1">
        <f t="shared" si="6"/>
        <v>208927.70000000007</v>
      </c>
      <c r="V7" s="4">
        <f t="shared" si="7"/>
        <v>0.39567521653723536</v>
      </c>
      <c r="W7" s="4">
        <f t="shared" si="7"/>
        <v>0.43409876816651566</v>
      </c>
    </row>
    <row r="8" spans="1:23" x14ac:dyDescent="0.25">
      <c r="A8" s="3" t="s">
        <v>7</v>
      </c>
      <c r="B8" s="13">
        <v>6533</v>
      </c>
      <c r="C8" s="13">
        <v>6547</v>
      </c>
      <c r="D8" s="21">
        <v>702022304</v>
      </c>
      <c r="E8" s="21">
        <v>745371785</v>
      </c>
      <c r="F8" s="1">
        <f t="shared" si="0"/>
        <v>43349481</v>
      </c>
      <c r="G8" s="4">
        <f t="shared" si="1"/>
        <v>6.174943552790596E-2</v>
      </c>
      <c r="H8" s="21">
        <v>84563</v>
      </c>
      <c r="I8" s="21">
        <v>92007</v>
      </c>
      <c r="J8" s="21">
        <v>93887</v>
      </c>
      <c r="K8" s="21">
        <v>100924</v>
      </c>
      <c r="L8" s="4">
        <f t="shared" si="2"/>
        <v>1.0749518037640995</v>
      </c>
      <c r="M8" s="22">
        <v>169971.25</v>
      </c>
      <c r="N8" s="22">
        <v>181459.05000000002</v>
      </c>
      <c r="O8" s="1">
        <f>N8-M8</f>
        <v>11487.800000000017</v>
      </c>
      <c r="P8" s="4">
        <f t="shared" si="4"/>
        <v>6.7586724225420572E-2</v>
      </c>
      <c r="Q8" s="21">
        <v>93887</v>
      </c>
      <c r="R8" s="21">
        <v>100924</v>
      </c>
      <c r="S8" s="1">
        <f t="shared" si="5"/>
        <v>7037</v>
      </c>
      <c r="T8" s="1">
        <f t="shared" si="6"/>
        <v>76084.25</v>
      </c>
      <c r="U8" s="1">
        <f t="shared" si="6"/>
        <v>80535.050000000017</v>
      </c>
      <c r="V8" s="4">
        <f t="shared" si="7"/>
        <v>0.44763011391632407</v>
      </c>
      <c r="W8" s="4">
        <f t="shared" si="7"/>
        <v>0.44381941821033455</v>
      </c>
    </row>
    <row r="9" spans="1:23" ht="16.5" x14ac:dyDescent="0.3">
      <c r="A9" s="16" t="s">
        <v>9</v>
      </c>
      <c r="B9" s="17">
        <f>SUM(B2:B8)</f>
        <v>188084</v>
      </c>
      <c r="C9" s="17">
        <f>SUM(C2:C8)</f>
        <v>188478</v>
      </c>
      <c r="D9" s="17">
        <f>SUM(D2:D8)</f>
        <v>26505150097</v>
      </c>
      <c r="E9" s="17">
        <f>SUM(E2:E8)</f>
        <v>29430342019</v>
      </c>
      <c r="F9" s="10"/>
      <c r="G9" s="11"/>
      <c r="H9" s="17">
        <f>SUM(H2:H8)</f>
        <v>2625528</v>
      </c>
      <c r="I9" s="17">
        <f>SUM(I2:I8)</f>
        <v>2887195</v>
      </c>
      <c r="J9" s="17">
        <f>SUM(J2:J8)</f>
        <v>3194085</v>
      </c>
      <c r="K9" s="17">
        <f>SUM(K2:K8)</f>
        <v>3528736</v>
      </c>
      <c r="L9" s="9"/>
      <c r="M9" s="17">
        <f>SUM(M2:M8)+3199</f>
        <v>5391487.0399999991</v>
      </c>
      <c r="N9" s="17">
        <f>SUM(N2:N8)+269</f>
        <v>5582934.8500000006</v>
      </c>
      <c r="O9" s="8"/>
      <c r="P9" s="8"/>
      <c r="Q9" s="17">
        <f>SUM(Q2:Q8)+2729</f>
        <v>3196814</v>
      </c>
      <c r="R9" s="17">
        <f>SUM(R2:R8)+2354</f>
        <v>3531090</v>
      </c>
      <c r="S9" s="10"/>
      <c r="T9" s="17">
        <f>SUM(T2:T8)+470</f>
        <v>2194673.04</v>
      </c>
      <c r="U9" s="17">
        <f>SUM(U2:U8)+2085</f>
        <v>2056014.8500000008</v>
      </c>
      <c r="V9" s="20">
        <f>SUM(M9-Q9)/M9</f>
        <v>0.40706265705870998</v>
      </c>
      <c r="W9" s="20">
        <f>SUM(N9-R9)/N9</f>
        <v>0.36752083001649222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298C-295D-4D33-9B5B-BAFBB0CB5931}">
  <dimension ref="A1:W9"/>
  <sheetViews>
    <sheetView zoomScale="83" workbookViewId="0">
      <selection activeCell="A10" sqref="A10:XFD24"/>
    </sheetView>
  </sheetViews>
  <sheetFormatPr defaultRowHeight="15.75" x14ac:dyDescent="0.25"/>
  <cols>
    <col min="1" max="1" width="11.125" bestFit="1" customWidth="1"/>
    <col min="2" max="2" width="27.875" bestFit="1" customWidth="1"/>
    <col min="3" max="3" width="39.5" bestFit="1" customWidth="1"/>
    <col min="4" max="4" width="33" bestFit="1" customWidth="1"/>
    <col min="5" max="5" width="36.875" bestFit="1" customWidth="1"/>
    <col min="6" max="6" width="24" bestFit="1" customWidth="1"/>
    <col min="7" max="7" width="27.875" bestFit="1" customWidth="1"/>
    <col min="8" max="8" width="33" bestFit="1" customWidth="1"/>
    <col min="9" max="9" width="36.875" bestFit="1" customWidth="1"/>
    <col min="10" max="10" width="33" bestFit="1" customWidth="1"/>
    <col min="11" max="11" width="36.875" bestFit="1" customWidth="1"/>
    <col min="12" max="12" width="25.25" bestFit="1" customWidth="1"/>
    <col min="13" max="13" width="33" bestFit="1" customWidth="1"/>
    <col min="14" max="14" width="36.875" bestFit="1" customWidth="1"/>
    <col min="15" max="15" width="30.5" bestFit="1" customWidth="1"/>
    <col min="16" max="16" width="44.625" bestFit="1" customWidth="1"/>
    <col min="17" max="17" width="29.125" bestFit="1" customWidth="1"/>
    <col min="18" max="18" width="33" bestFit="1" customWidth="1"/>
    <col min="19" max="19" width="25.25" bestFit="1" customWidth="1"/>
    <col min="20" max="20" width="18.875" bestFit="1" customWidth="1"/>
    <col min="21" max="21" width="22.75" bestFit="1" customWidth="1"/>
    <col min="22" max="22" width="31.75" bestFit="1" customWidth="1"/>
    <col min="23" max="23" width="36.875" bestFit="1" customWidth="1"/>
  </cols>
  <sheetData>
    <row r="1" spans="1:23" x14ac:dyDescent="0.25">
      <c r="A1" s="15" t="s">
        <v>0</v>
      </c>
      <c r="B1" s="15" t="s">
        <v>81</v>
      </c>
      <c r="C1" s="15" t="s">
        <v>82</v>
      </c>
      <c r="D1" s="15" t="s">
        <v>72</v>
      </c>
      <c r="E1" s="15" t="s">
        <v>83</v>
      </c>
      <c r="F1" s="15" t="s">
        <v>11</v>
      </c>
      <c r="G1" s="15" t="s">
        <v>12</v>
      </c>
      <c r="H1" s="15" t="s">
        <v>74</v>
      </c>
      <c r="I1" s="15" t="s">
        <v>84</v>
      </c>
      <c r="J1" s="15" t="s">
        <v>75</v>
      </c>
      <c r="K1" s="15" t="s">
        <v>85</v>
      </c>
      <c r="L1" s="15" t="s">
        <v>19</v>
      </c>
      <c r="M1" s="15" t="s">
        <v>76</v>
      </c>
      <c r="N1" s="15" t="s">
        <v>86</v>
      </c>
      <c r="O1" s="15" t="s">
        <v>22</v>
      </c>
      <c r="P1" s="15" t="s">
        <v>23</v>
      </c>
      <c r="Q1" s="15" t="s">
        <v>77</v>
      </c>
      <c r="R1" s="15" t="s">
        <v>87</v>
      </c>
      <c r="S1" s="15" t="s">
        <v>26</v>
      </c>
      <c r="T1" s="15" t="s">
        <v>78</v>
      </c>
      <c r="U1" s="15" t="s">
        <v>88</v>
      </c>
      <c r="V1" s="15" t="s">
        <v>89</v>
      </c>
      <c r="W1" s="15" t="s">
        <v>90</v>
      </c>
    </row>
    <row r="2" spans="1:23" x14ac:dyDescent="0.25">
      <c r="A2" s="3" t="s">
        <v>2</v>
      </c>
      <c r="B2" s="13">
        <v>46876</v>
      </c>
      <c r="C2" s="13">
        <v>46903</v>
      </c>
      <c r="D2" s="21">
        <f>Agustus!D2/31</f>
        <v>235687243.87096775</v>
      </c>
      <c r="E2" s="21">
        <f>Agustus!E2/31</f>
        <v>256198618.70967743</v>
      </c>
      <c r="F2" s="1">
        <f>E2-D2</f>
        <v>20511374.838709682</v>
      </c>
      <c r="G2" s="4">
        <f>F2/D2</f>
        <v>8.702793796485267E-2</v>
      </c>
      <c r="H2" s="21">
        <f>Agustus!H2/31</f>
        <v>21026.354838709678</v>
      </c>
      <c r="I2" s="21">
        <f>Agustus!I2/31</f>
        <v>22732.677419354837</v>
      </c>
      <c r="J2" s="21">
        <f>Agustus!J2/31</f>
        <v>27010.580645161292</v>
      </c>
      <c r="K2" s="21">
        <f>Agustus!K2/31</f>
        <v>29258.870967741936</v>
      </c>
      <c r="L2" s="4">
        <f>K2/J2</f>
        <v>1.083237393231804</v>
      </c>
      <c r="M2" s="22">
        <f>Agustus!M2/31</f>
        <v>46400.081290322567</v>
      </c>
      <c r="N2" s="22">
        <f>Agustus!N2/31</f>
        <v>44011.104193548395</v>
      </c>
      <c r="O2" s="1">
        <f>N2-M2</f>
        <v>-2388.9770967741715</v>
      </c>
      <c r="P2" s="4">
        <f>O2/M2</f>
        <v>-5.1486485159939331E-2</v>
      </c>
      <c r="Q2" s="21">
        <f>Agustus!Q2/31</f>
        <v>27010.580645161292</v>
      </c>
      <c r="R2" s="21">
        <f>Agustus!R2/31</f>
        <v>29258.870967741936</v>
      </c>
      <c r="S2" s="1">
        <f>R2-Q2</f>
        <v>2248.290322580644</v>
      </c>
      <c r="T2" s="1">
        <f>M2-Q2</f>
        <v>19389.500645161275</v>
      </c>
      <c r="U2" s="1">
        <f>N2-R2</f>
        <v>14752.23322580646</v>
      </c>
      <c r="V2" s="4">
        <f>T2/M2</f>
        <v>0.41787643697954568</v>
      </c>
      <c r="W2" s="4">
        <f>U2/N2</f>
        <v>0.33519343575044852</v>
      </c>
    </row>
    <row r="3" spans="1:23" x14ac:dyDescent="0.25">
      <c r="A3" s="3" t="s">
        <v>6</v>
      </c>
      <c r="B3" s="13">
        <v>35660</v>
      </c>
      <c r="C3" s="13">
        <v>36044</v>
      </c>
      <c r="D3" s="21">
        <f>Agustus!D3/31</f>
        <v>168130189.25806451</v>
      </c>
      <c r="E3" s="21">
        <f>Agustus!E3/31</f>
        <v>191675100.45161289</v>
      </c>
      <c r="F3" s="1">
        <f t="shared" ref="F3:F8" si="0">E3-D3</f>
        <v>23544911.193548381</v>
      </c>
      <c r="G3" s="4">
        <f t="shared" ref="G3:G8" si="1">F3/D3</f>
        <v>0.14003975905486604</v>
      </c>
      <c r="H3" s="21">
        <f>Agustus!H3/31</f>
        <v>15122.483870967742</v>
      </c>
      <c r="I3" s="21">
        <f>Agustus!I3/31</f>
        <v>16903.064516129034</v>
      </c>
      <c r="J3" s="21">
        <f>Agustus!J3/31</f>
        <v>19166.935483870966</v>
      </c>
      <c r="K3" s="21">
        <f>Agustus!K3/31</f>
        <v>21625.903225806451</v>
      </c>
      <c r="L3" s="4">
        <f t="shared" ref="L3:L8" si="2">K3/J3</f>
        <v>1.1282921698152901</v>
      </c>
      <c r="M3" s="22">
        <f>Agustus!M3/31</f>
        <v>31906.426451612901</v>
      </c>
      <c r="N3" s="22">
        <f>Agustus!N3/31</f>
        <v>36827.678064516127</v>
      </c>
      <c r="O3" s="1">
        <f t="shared" ref="O3:O7" si="3">N3-M3</f>
        <v>4921.2516129032265</v>
      </c>
      <c r="P3" s="4">
        <f t="shared" ref="P3:P8" si="4">O3/M3</f>
        <v>0.15424013780943033</v>
      </c>
      <c r="Q3" s="21">
        <f>Agustus!Q3/31</f>
        <v>19166.935483870966</v>
      </c>
      <c r="R3" s="21">
        <f>Agustus!R3/31</f>
        <v>21625.903225806451</v>
      </c>
      <c r="S3" s="1">
        <f t="shared" ref="S3:S8" si="5">R3-Q3</f>
        <v>2458.9677419354848</v>
      </c>
      <c r="T3" s="1">
        <f t="shared" ref="T3:U8" si="6">M3-Q3</f>
        <v>12739.490967741935</v>
      </c>
      <c r="U3" s="1">
        <f t="shared" si="6"/>
        <v>15201.774838709676</v>
      </c>
      <c r="V3" s="4">
        <f t="shared" ref="V3:W8" si="7">T3/M3</f>
        <v>0.39927664688685127</v>
      </c>
      <c r="W3" s="4">
        <f t="shared" si="7"/>
        <v>0.41278124599869231</v>
      </c>
    </row>
    <row r="4" spans="1:23" x14ac:dyDescent="0.25">
      <c r="A4" s="3" t="s">
        <v>5</v>
      </c>
      <c r="B4" s="13">
        <v>33741</v>
      </c>
      <c r="C4" s="13">
        <v>33684</v>
      </c>
      <c r="D4" s="21">
        <f>Agustus!D4/31</f>
        <v>134925250.87096775</v>
      </c>
      <c r="E4" s="21">
        <f>Agustus!E4/31</f>
        <v>155564318.41935483</v>
      </c>
      <c r="F4" s="1">
        <f t="shared" si="0"/>
        <v>20639067.54838708</v>
      </c>
      <c r="G4" s="4">
        <f t="shared" si="1"/>
        <v>0.15296667906976669</v>
      </c>
      <c r="H4" s="21">
        <f>Agustus!H4/31</f>
        <v>16667.032258064515</v>
      </c>
      <c r="I4" s="21">
        <f>Agustus!I4/31</f>
        <v>18872.16129032258</v>
      </c>
      <c r="J4" s="21">
        <f>Agustus!J4/31</f>
        <v>18681</v>
      </c>
      <c r="K4" s="21">
        <f>Agustus!K4/31</f>
        <v>21253.451612903227</v>
      </c>
      <c r="L4" s="4">
        <f t="shared" si="2"/>
        <v>1.137704170703026</v>
      </c>
      <c r="M4" s="22">
        <f>Agustus!M4/31</f>
        <v>33963.637741935498</v>
      </c>
      <c r="N4" s="22">
        <f>Agustus!N4/31</f>
        <v>34705.418709677426</v>
      </c>
      <c r="O4" s="1">
        <f t="shared" si="3"/>
        <v>741.78096774192818</v>
      </c>
      <c r="P4" s="4">
        <f t="shared" si="4"/>
        <v>2.1840445166038214E-2</v>
      </c>
      <c r="Q4" s="21">
        <f>Agustus!Q4/31</f>
        <v>18681</v>
      </c>
      <c r="R4" s="21">
        <f>Agustus!R4/31</f>
        <v>21253.451612903227</v>
      </c>
      <c r="S4" s="1">
        <f t="shared" si="5"/>
        <v>2572.4516129032272</v>
      </c>
      <c r="T4" s="1">
        <f t="shared" si="6"/>
        <v>15282.637741935498</v>
      </c>
      <c r="U4" s="1">
        <f t="shared" si="6"/>
        <v>13451.967096774199</v>
      </c>
      <c r="V4" s="4">
        <f t="shared" si="7"/>
        <v>0.44997057906626292</v>
      </c>
      <c r="W4" s="4">
        <f t="shared" si="7"/>
        <v>0.3876042300282978</v>
      </c>
    </row>
    <row r="5" spans="1:23" x14ac:dyDescent="0.25">
      <c r="A5" s="3" t="s">
        <v>3</v>
      </c>
      <c r="B5" s="13">
        <v>28246</v>
      </c>
      <c r="C5" s="13">
        <v>28286</v>
      </c>
      <c r="D5" s="21">
        <f>Agustus!D5/31</f>
        <v>124879179.80645162</v>
      </c>
      <c r="E5" s="21">
        <f>Agustus!E5/31</f>
        <v>137874573.6451613</v>
      </c>
      <c r="F5" s="1">
        <f t="shared" si="0"/>
        <v>12995393.838709682</v>
      </c>
      <c r="G5" s="4">
        <f t="shared" si="1"/>
        <v>0.10406373471423379</v>
      </c>
      <c r="H5" s="21">
        <f>Agustus!H5/31</f>
        <v>12346.451612903225</v>
      </c>
      <c r="I5" s="21">
        <f>Agustus!I5/31</f>
        <v>13893.032258064517</v>
      </c>
      <c r="J5" s="21">
        <f>Agustus!J5/31</f>
        <v>14850.064516129032</v>
      </c>
      <c r="K5" s="21">
        <f>Agustus!K5/31</f>
        <v>16589.193548387098</v>
      </c>
      <c r="L5" s="4">
        <f t="shared" si="2"/>
        <v>1.1171125573474212</v>
      </c>
      <c r="M5" s="22">
        <f>Agustus!M5/31</f>
        <v>25043.81863799283</v>
      </c>
      <c r="N5" s="22">
        <f>Agustus!N5/31</f>
        <v>25451.129032258064</v>
      </c>
      <c r="O5" s="1">
        <f t="shared" si="3"/>
        <v>407.31039426523421</v>
      </c>
      <c r="P5" s="4">
        <f t="shared" si="4"/>
        <v>1.6263909276491975E-2</v>
      </c>
      <c r="Q5" s="21">
        <f>Agustus!Q5/31</f>
        <v>14850.064516129032</v>
      </c>
      <c r="R5" s="21">
        <f>Agustus!R5/31</f>
        <v>16589.193548387098</v>
      </c>
      <c r="S5" s="1">
        <f t="shared" si="5"/>
        <v>1739.1290322580662</v>
      </c>
      <c r="T5" s="1">
        <f t="shared" si="6"/>
        <v>10193.754121863798</v>
      </c>
      <c r="U5" s="1">
        <f t="shared" si="6"/>
        <v>8861.935483870966</v>
      </c>
      <c r="V5" s="4">
        <f t="shared" si="7"/>
        <v>0.40703673306431476</v>
      </c>
      <c r="W5" s="4">
        <f t="shared" si="7"/>
        <v>0.34819419887577069</v>
      </c>
    </row>
    <row r="6" spans="1:23" x14ac:dyDescent="0.25">
      <c r="A6" s="3" t="s">
        <v>4</v>
      </c>
      <c r="B6" s="13">
        <v>21240</v>
      </c>
      <c r="C6" s="13">
        <v>21267</v>
      </c>
      <c r="D6" s="21">
        <f>Agustus!D6/31</f>
        <v>96981556.161290318</v>
      </c>
      <c r="E6" s="21">
        <f>Agustus!E6/31</f>
        <v>105053638.77419356</v>
      </c>
      <c r="F6" s="1">
        <f t="shared" si="0"/>
        <v>8072082.6129032373</v>
      </c>
      <c r="G6" s="4">
        <f t="shared" si="1"/>
        <v>8.3233172702225286E-2</v>
      </c>
      <c r="H6" s="21">
        <f>Agustus!H6/31</f>
        <v>10456</v>
      </c>
      <c r="I6" s="21">
        <f>Agustus!I6/31</f>
        <v>11303.064516129032</v>
      </c>
      <c r="J6" s="21">
        <f>Agustus!J6/31</f>
        <v>12096.193548387097</v>
      </c>
      <c r="K6" s="21">
        <f>Agustus!K6/31</f>
        <v>13061.258064516129</v>
      </c>
      <c r="L6" s="4">
        <f t="shared" si="2"/>
        <v>1.0797824962264855</v>
      </c>
      <c r="M6" s="22">
        <f>Agustus!M6/31</f>
        <v>17447.303942652332</v>
      </c>
      <c r="N6" s="22">
        <f>Agustus!N6/31</f>
        <v>17711.64096774194</v>
      </c>
      <c r="O6" s="1">
        <f t="shared" si="3"/>
        <v>264.33702508960778</v>
      </c>
      <c r="P6" s="4">
        <f t="shared" si="4"/>
        <v>1.5150594381714162E-2</v>
      </c>
      <c r="Q6" s="21">
        <f>Agustus!Q6/31</f>
        <v>12096.193548387097</v>
      </c>
      <c r="R6" s="21">
        <f>Agustus!R6/31</f>
        <v>13061.258064516129</v>
      </c>
      <c r="S6" s="1">
        <f t="shared" si="5"/>
        <v>965.0645161290322</v>
      </c>
      <c r="T6" s="1">
        <f t="shared" si="6"/>
        <v>5351.1103942652353</v>
      </c>
      <c r="U6" s="1">
        <f t="shared" si="6"/>
        <v>4650.3829032258109</v>
      </c>
      <c r="V6" s="4">
        <f t="shared" si="7"/>
        <v>0.30670127670463232</v>
      </c>
      <c r="W6" s="4">
        <f t="shared" si="7"/>
        <v>0.26256081588913832</v>
      </c>
    </row>
    <row r="7" spans="1:23" x14ac:dyDescent="0.25">
      <c r="A7" s="3" t="s">
        <v>8</v>
      </c>
      <c r="B7" s="13">
        <v>15788</v>
      </c>
      <c r="C7" s="13">
        <v>15747</v>
      </c>
      <c r="D7" s="21">
        <f>Agustus!D7/31</f>
        <v>71755541.096774191</v>
      </c>
      <c r="E7" s="21">
        <f>Agustus!E7/31</f>
        <v>78955370.451612905</v>
      </c>
      <c r="F7" s="1">
        <f t="shared" si="0"/>
        <v>7199829.354838714</v>
      </c>
      <c r="G7" s="4">
        <f t="shared" si="1"/>
        <v>0.10033830481646784</v>
      </c>
      <c r="H7" s="21">
        <f>Agustus!H7/31</f>
        <v>6348.2903225806449</v>
      </c>
      <c r="I7" s="21">
        <f>Agustus!I7/31</f>
        <v>6463.3548387096771</v>
      </c>
      <c r="J7" s="21">
        <f>Agustus!J7/31</f>
        <v>8201.6129032258068</v>
      </c>
      <c r="K7" s="21">
        <f>Agustus!K7/31</f>
        <v>8785.9032258064508</v>
      </c>
      <c r="L7" s="4">
        <f t="shared" si="2"/>
        <v>1.0712409046214355</v>
      </c>
      <c r="M7" s="22">
        <f>Agustus!M7/31</f>
        <v>13571.531612903225</v>
      </c>
      <c r="N7" s="22">
        <f>Agustus!N7/31</f>
        <v>15525.506451612906</v>
      </c>
      <c r="O7" s="1">
        <f t="shared" si="3"/>
        <v>1953.9748387096806</v>
      </c>
      <c r="P7" s="4">
        <f t="shared" si="4"/>
        <v>0.14397600023654852</v>
      </c>
      <c r="Q7" s="21">
        <f>Agustus!Q7/31</f>
        <v>8201.6129032258068</v>
      </c>
      <c r="R7" s="21">
        <f>Agustus!R7/31</f>
        <v>8785.9032258064508</v>
      </c>
      <c r="S7" s="1">
        <f t="shared" si="5"/>
        <v>584.29032258064399</v>
      </c>
      <c r="T7" s="1">
        <f t="shared" si="6"/>
        <v>5369.9187096774185</v>
      </c>
      <c r="U7" s="1">
        <f t="shared" si="6"/>
        <v>6739.6032258064552</v>
      </c>
      <c r="V7" s="4">
        <f t="shared" si="7"/>
        <v>0.39567521653723536</v>
      </c>
      <c r="W7" s="4">
        <f t="shared" si="7"/>
        <v>0.43409876816651571</v>
      </c>
    </row>
    <row r="8" spans="1:23" x14ac:dyDescent="0.25">
      <c r="A8" s="3" t="s">
        <v>7</v>
      </c>
      <c r="B8" s="13">
        <v>6533</v>
      </c>
      <c r="C8" s="13">
        <v>6547</v>
      </c>
      <c r="D8" s="21">
        <f>Agustus!D8/31</f>
        <v>22645880.774193548</v>
      </c>
      <c r="E8" s="21">
        <f>Agustus!E8/31</f>
        <v>24044251.129032258</v>
      </c>
      <c r="F8" s="1">
        <f t="shared" si="0"/>
        <v>1398370.3548387103</v>
      </c>
      <c r="G8" s="4">
        <f t="shared" si="1"/>
        <v>6.1749435527905988E-2</v>
      </c>
      <c r="H8" s="21">
        <f>Agustus!H8/31</f>
        <v>2727.8387096774195</v>
      </c>
      <c r="I8" s="21">
        <f>Agustus!I8/31</f>
        <v>2967.9677419354839</v>
      </c>
      <c r="J8" s="21">
        <f>Agustus!J8/31</f>
        <v>3028.6129032258063</v>
      </c>
      <c r="K8" s="21">
        <f>Agustus!K8/31</f>
        <v>3255.6129032258063</v>
      </c>
      <c r="L8" s="4">
        <f t="shared" si="2"/>
        <v>1.0749518037640995</v>
      </c>
      <c r="M8" s="22">
        <f>Agustus!M8/31</f>
        <v>5482.9435483870966</v>
      </c>
      <c r="N8" s="22">
        <f>Agustus!N8/31</f>
        <v>5853.5177419354841</v>
      </c>
      <c r="O8" s="1">
        <f>N8-M8</f>
        <v>370.57419354838748</v>
      </c>
      <c r="P8" s="4">
        <f t="shared" si="4"/>
        <v>6.7586724225420544E-2</v>
      </c>
      <c r="Q8" s="21">
        <f>Agustus!Q8/31</f>
        <v>3028.6129032258063</v>
      </c>
      <c r="R8" s="21">
        <f>Agustus!R8/31</f>
        <v>3255.6129032258063</v>
      </c>
      <c r="S8" s="1">
        <f t="shared" si="5"/>
        <v>227</v>
      </c>
      <c r="T8" s="1">
        <f t="shared" si="6"/>
        <v>2454.3306451612902</v>
      </c>
      <c r="U8" s="1">
        <f t="shared" si="6"/>
        <v>2597.9048387096777</v>
      </c>
      <c r="V8" s="4">
        <f t="shared" si="7"/>
        <v>0.44763011391632407</v>
      </c>
      <c r="W8" s="4">
        <f t="shared" si="7"/>
        <v>0.44381941821033455</v>
      </c>
    </row>
    <row r="9" spans="1:23" ht="16.5" x14ac:dyDescent="0.3">
      <c r="A9" s="16" t="s">
        <v>9</v>
      </c>
      <c r="B9" s="17">
        <f>SUM(B2:B8)</f>
        <v>188084</v>
      </c>
      <c r="C9" s="17">
        <f>SUM(C2:C8)</f>
        <v>188478</v>
      </c>
      <c r="D9" s="17">
        <f>SUM(D2:D8)</f>
        <v>855004841.83870959</v>
      </c>
      <c r="E9" s="17">
        <f>SUM(E2:E8)</f>
        <v>949365871.58064508</v>
      </c>
      <c r="F9" s="10"/>
      <c r="G9" s="11"/>
      <c r="H9" s="17">
        <f>SUM(H2:H8)</f>
        <v>84694.451612903242</v>
      </c>
      <c r="I9" s="17">
        <f>SUM(I2:I8)</f>
        <v>93135.322580645166</v>
      </c>
      <c r="J9" s="17">
        <f>SUM(J2:J8)</f>
        <v>103034.99999999999</v>
      </c>
      <c r="K9" s="17">
        <f>SUM(K2:K8)</f>
        <v>113830.19354838708</v>
      </c>
      <c r="L9" s="9"/>
      <c r="M9" s="17">
        <f>SUM(M2:M8)+3199</f>
        <v>177014.74322580645</v>
      </c>
      <c r="N9" s="17">
        <f>SUM(N2:N8)+269</f>
        <v>180354.99516129031</v>
      </c>
      <c r="O9" s="8"/>
      <c r="P9" s="8"/>
      <c r="Q9" s="17">
        <f>SUM(Q2:Q8)+2729</f>
        <v>105763.99999999999</v>
      </c>
      <c r="R9" s="17">
        <f>SUM(R2:R8)+2354</f>
        <v>116184.19354838708</v>
      </c>
      <c r="S9" s="10"/>
      <c r="T9" s="17">
        <f>SUM(T2:T8)+470</f>
        <v>71250.743225806436</v>
      </c>
      <c r="U9" s="17">
        <f>SUM(U2:U8)+2085</f>
        <v>68340.801612903248</v>
      </c>
      <c r="V9" s="20">
        <f>SUM(M9-Q9)/M9</f>
        <v>0.40251304454859121</v>
      </c>
      <c r="W9" s="20">
        <f>SUM(N9-R9)/N9</f>
        <v>0.35580274089728259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9052-9200-445B-99A8-42D337D8051B}">
  <dimension ref="A1:W9"/>
  <sheetViews>
    <sheetView zoomScale="77" workbookViewId="0">
      <selection activeCell="A10" sqref="A10:XFD28"/>
    </sheetView>
  </sheetViews>
  <sheetFormatPr defaultRowHeight="15.75" x14ac:dyDescent="0.25"/>
  <cols>
    <col min="1" max="1" width="11.125" bestFit="1" customWidth="1"/>
    <col min="2" max="2" width="31.75" bestFit="1" customWidth="1"/>
    <col min="3" max="3" width="42.125" bestFit="1" customWidth="1"/>
    <col min="4" max="4" width="36.875" bestFit="1" customWidth="1"/>
    <col min="5" max="5" width="39.5" bestFit="1" customWidth="1"/>
    <col min="6" max="6" width="24" bestFit="1" customWidth="1"/>
    <col min="7" max="7" width="27.875" bestFit="1" customWidth="1"/>
    <col min="8" max="8" width="36.875" bestFit="1" customWidth="1"/>
    <col min="9" max="9" width="39.5" bestFit="1" customWidth="1"/>
    <col min="10" max="10" width="36.875" bestFit="1" customWidth="1"/>
    <col min="11" max="11" width="39.5" bestFit="1" customWidth="1"/>
    <col min="12" max="12" width="25.25" bestFit="1" customWidth="1"/>
    <col min="13" max="13" width="36.875" bestFit="1" customWidth="1"/>
    <col min="14" max="14" width="39.5" bestFit="1" customWidth="1"/>
    <col min="15" max="15" width="30.5" bestFit="1" customWidth="1"/>
    <col min="16" max="16" width="44.625" bestFit="1" customWidth="1"/>
    <col min="17" max="17" width="33" bestFit="1" customWidth="1"/>
    <col min="18" max="18" width="35.625" bestFit="1" customWidth="1"/>
    <col min="19" max="19" width="25.25" bestFit="1" customWidth="1"/>
    <col min="20" max="20" width="22.75" bestFit="1" customWidth="1"/>
    <col min="21" max="21" width="25.25" bestFit="1" customWidth="1"/>
    <col min="22" max="22" width="35.625" bestFit="1" customWidth="1"/>
    <col min="23" max="23" width="39.5" bestFit="1" customWidth="1"/>
  </cols>
  <sheetData>
    <row r="1" spans="1:23" x14ac:dyDescent="0.25">
      <c r="A1" s="15" t="s">
        <v>0</v>
      </c>
      <c r="B1" s="15" t="s">
        <v>91</v>
      </c>
      <c r="C1" s="15" t="s">
        <v>92</v>
      </c>
      <c r="D1" s="15" t="s">
        <v>83</v>
      </c>
      <c r="E1" s="15" t="s">
        <v>93</v>
      </c>
      <c r="F1" s="15" t="s">
        <v>11</v>
      </c>
      <c r="G1" s="15" t="s">
        <v>12</v>
      </c>
      <c r="H1" s="15" t="s">
        <v>84</v>
      </c>
      <c r="I1" s="15" t="s">
        <v>94</v>
      </c>
      <c r="J1" s="15" t="s">
        <v>85</v>
      </c>
      <c r="K1" s="15" t="s">
        <v>95</v>
      </c>
      <c r="L1" s="15" t="s">
        <v>19</v>
      </c>
      <c r="M1" s="15" t="s">
        <v>86</v>
      </c>
      <c r="N1" s="15" t="s">
        <v>96</v>
      </c>
      <c r="O1" s="15" t="s">
        <v>22</v>
      </c>
      <c r="P1" s="15" t="s">
        <v>23</v>
      </c>
      <c r="Q1" s="15" t="s">
        <v>87</v>
      </c>
      <c r="R1" s="15" t="s">
        <v>97</v>
      </c>
      <c r="S1" s="15" t="s">
        <v>26</v>
      </c>
      <c r="T1" s="15" t="s">
        <v>88</v>
      </c>
      <c r="U1" s="15" t="s">
        <v>98</v>
      </c>
      <c r="V1" s="15" t="s">
        <v>99</v>
      </c>
      <c r="W1" s="15" t="s">
        <v>100</v>
      </c>
    </row>
    <row r="2" spans="1:23" x14ac:dyDescent="0.25">
      <c r="A2" s="3" t="s">
        <v>2</v>
      </c>
      <c r="B2" s="13">
        <v>46903</v>
      </c>
      <c r="C2" s="13">
        <v>46982</v>
      </c>
      <c r="D2" s="21">
        <v>7942157180</v>
      </c>
      <c r="E2" s="21">
        <v>7845697089</v>
      </c>
      <c r="F2" s="1">
        <f>E2-D2</f>
        <v>-96460091</v>
      </c>
      <c r="G2" s="4">
        <f>F2/D2</f>
        <v>-1.2145326365852659E-2</v>
      </c>
      <c r="H2" s="21">
        <v>704713</v>
      </c>
      <c r="I2" s="21">
        <v>704712</v>
      </c>
      <c r="J2" s="21">
        <v>907025</v>
      </c>
      <c r="K2" s="21">
        <v>903005</v>
      </c>
      <c r="L2" s="4">
        <f>K2/J2</f>
        <v>0.99556792811664507</v>
      </c>
      <c r="M2" s="22">
        <v>1364344.2300000002</v>
      </c>
      <c r="N2" s="22">
        <v>1384499.9499999997</v>
      </c>
      <c r="O2" s="1">
        <f>N2-M2</f>
        <v>20155.719999999506</v>
      </c>
      <c r="P2" s="4">
        <f>O2/M2</f>
        <v>1.4773192539539308E-2</v>
      </c>
      <c r="Q2" s="21">
        <v>907025</v>
      </c>
      <c r="R2" s="21">
        <v>903005</v>
      </c>
      <c r="S2" s="1">
        <f>R2-Q2</f>
        <v>-4020</v>
      </c>
      <c r="T2" s="1">
        <f>M2-Q2</f>
        <v>457319.23000000021</v>
      </c>
      <c r="U2" s="1">
        <f>N2-R2</f>
        <v>481494.94999999972</v>
      </c>
      <c r="V2" s="4">
        <f>T2/M2</f>
        <v>0.33519343575044852</v>
      </c>
      <c r="W2" s="4">
        <f>U2/N2</f>
        <v>0.34777534661521642</v>
      </c>
    </row>
    <row r="3" spans="1:23" x14ac:dyDescent="0.25">
      <c r="A3" s="3" t="s">
        <v>6</v>
      </c>
      <c r="B3" s="13">
        <v>36044</v>
      </c>
      <c r="C3" s="13">
        <v>36171</v>
      </c>
      <c r="D3" s="21">
        <v>5941928114</v>
      </c>
      <c r="E3" s="21">
        <v>5719069607</v>
      </c>
      <c r="F3" s="1">
        <f t="shared" ref="F3:F8" si="0">E3-D3</f>
        <v>-222858507</v>
      </c>
      <c r="G3" s="4">
        <f t="shared" ref="G3:G8" si="1">F3/D3</f>
        <v>-3.7506092757149771E-2</v>
      </c>
      <c r="H3" s="21">
        <v>523995</v>
      </c>
      <c r="I3" s="21">
        <v>502450</v>
      </c>
      <c r="J3" s="21">
        <v>670403</v>
      </c>
      <c r="K3" s="21">
        <v>646291</v>
      </c>
      <c r="L3" s="4">
        <f t="shared" ref="L3:L8" si="2">K3/J3</f>
        <v>0.96403357383543931</v>
      </c>
      <c r="M3" s="22">
        <v>1141658.02</v>
      </c>
      <c r="N3" s="22">
        <v>1125072.03</v>
      </c>
      <c r="O3" s="1">
        <f t="shared" ref="O3:O7" si="3">N3-M3</f>
        <v>-16585.989999999991</v>
      </c>
      <c r="P3" s="4">
        <f t="shared" ref="P3:P8" si="4">O3/M3</f>
        <v>-1.4527984483479554E-2</v>
      </c>
      <c r="Q3" s="21">
        <v>670403</v>
      </c>
      <c r="R3" s="21">
        <v>646291</v>
      </c>
      <c r="S3" s="1">
        <f t="shared" ref="S3:S8" si="5">R3-Q3</f>
        <v>-24112</v>
      </c>
      <c r="T3" s="1">
        <f t="shared" ref="T3:U8" si="6">M3-Q3</f>
        <v>471255.02</v>
      </c>
      <c r="U3" s="1">
        <f t="shared" si="6"/>
        <v>478781.03</v>
      </c>
      <c r="V3" s="4">
        <f t="shared" ref="V3:W8" si="7">T3/M3</f>
        <v>0.41278124599869231</v>
      </c>
      <c r="W3" s="4">
        <f t="shared" si="7"/>
        <v>0.42555589085260614</v>
      </c>
    </row>
    <row r="4" spans="1:23" x14ac:dyDescent="0.25">
      <c r="A4" s="3" t="s">
        <v>5</v>
      </c>
      <c r="B4" s="13">
        <v>33684</v>
      </c>
      <c r="C4" s="13">
        <v>33699</v>
      </c>
      <c r="D4" s="21">
        <v>4822493871</v>
      </c>
      <c r="E4" s="21">
        <v>4443579892</v>
      </c>
      <c r="F4" s="1">
        <f t="shared" si="0"/>
        <v>-378913979</v>
      </c>
      <c r="G4" s="4">
        <f t="shared" si="1"/>
        <v>-7.8572205405712164E-2</v>
      </c>
      <c r="H4" s="21">
        <v>585037</v>
      </c>
      <c r="I4" s="21">
        <v>545313</v>
      </c>
      <c r="J4" s="21">
        <v>658857</v>
      </c>
      <c r="K4" s="21">
        <v>613569</v>
      </c>
      <c r="L4" s="4">
        <f t="shared" si="2"/>
        <v>0.93126277781066302</v>
      </c>
      <c r="M4" s="22">
        <v>1075867.9800000002</v>
      </c>
      <c r="N4" s="22">
        <v>1097292.3500000003</v>
      </c>
      <c r="O4" s="1">
        <f t="shared" si="3"/>
        <v>21424.370000000112</v>
      </c>
      <c r="P4" s="4">
        <f t="shared" si="4"/>
        <v>1.9913567833852727E-2</v>
      </c>
      <c r="Q4" s="21">
        <v>658857</v>
      </c>
      <c r="R4" s="21">
        <v>613569</v>
      </c>
      <c r="S4" s="1">
        <f t="shared" si="5"/>
        <v>-45288</v>
      </c>
      <c r="T4" s="1">
        <f t="shared" si="6"/>
        <v>417010.98000000021</v>
      </c>
      <c r="U4" s="1">
        <f t="shared" si="6"/>
        <v>483723.35000000033</v>
      </c>
      <c r="V4" s="4">
        <f t="shared" si="7"/>
        <v>0.38760423002829786</v>
      </c>
      <c r="W4" s="4">
        <f t="shared" si="7"/>
        <v>0.44083361193578008</v>
      </c>
    </row>
    <row r="5" spans="1:23" x14ac:dyDescent="0.25">
      <c r="A5" s="3" t="s">
        <v>3</v>
      </c>
      <c r="B5" s="13">
        <v>28286</v>
      </c>
      <c r="C5" s="13">
        <v>28308</v>
      </c>
      <c r="D5" s="21">
        <v>4274111783</v>
      </c>
      <c r="E5" s="21">
        <v>4066681570</v>
      </c>
      <c r="F5" s="1">
        <f t="shared" si="0"/>
        <v>-207430213</v>
      </c>
      <c r="G5" s="4">
        <f t="shared" si="1"/>
        <v>-4.8531770700298502E-2</v>
      </c>
      <c r="H5" s="21">
        <v>430684</v>
      </c>
      <c r="I5" s="21">
        <v>409390</v>
      </c>
      <c r="J5" s="21">
        <v>514265</v>
      </c>
      <c r="K5" s="21">
        <v>487870</v>
      </c>
      <c r="L5" s="4">
        <f t="shared" si="2"/>
        <v>0.94867432160462017</v>
      </c>
      <c r="M5" s="22">
        <v>788985</v>
      </c>
      <c r="N5" s="22">
        <v>914820.4</v>
      </c>
      <c r="O5" s="1">
        <f t="shared" si="3"/>
        <v>125835.40000000002</v>
      </c>
      <c r="P5" s="4">
        <f t="shared" si="4"/>
        <v>0.15949023111972982</v>
      </c>
      <c r="Q5" s="21">
        <v>514265</v>
      </c>
      <c r="R5" s="21">
        <v>487870</v>
      </c>
      <c r="S5" s="1">
        <f t="shared" si="5"/>
        <v>-26395</v>
      </c>
      <c r="T5" s="1">
        <f t="shared" si="6"/>
        <v>274720</v>
      </c>
      <c r="U5" s="1">
        <f t="shared" si="6"/>
        <v>426950.40000000002</v>
      </c>
      <c r="V5" s="4">
        <f t="shared" si="7"/>
        <v>0.34819419887577074</v>
      </c>
      <c r="W5" s="4">
        <f t="shared" si="7"/>
        <v>0.4667040656286196</v>
      </c>
    </row>
    <row r="6" spans="1:23" x14ac:dyDescent="0.25">
      <c r="A6" s="3" t="s">
        <v>4</v>
      </c>
      <c r="B6" s="13">
        <v>21267</v>
      </c>
      <c r="C6" s="13">
        <v>21279</v>
      </c>
      <c r="D6" s="21">
        <v>3256662802</v>
      </c>
      <c r="E6" s="21">
        <v>3083241737</v>
      </c>
      <c r="F6" s="1">
        <f t="shared" si="0"/>
        <v>-173421065</v>
      </c>
      <c r="G6" s="4">
        <f t="shared" si="1"/>
        <v>-5.325115787041191E-2</v>
      </c>
      <c r="H6" s="21">
        <v>350395</v>
      </c>
      <c r="I6" s="21">
        <v>329303</v>
      </c>
      <c r="J6" s="21">
        <v>404899</v>
      </c>
      <c r="K6" s="21">
        <v>383260</v>
      </c>
      <c r="L6" s="4">
        <f t="shared" si="2"/>
        <v>0.94655704262050533</v>
      </c>
      <c r="M6" s="22">
        <v>549060.87000000011</v>
      </c>
      <c r="N6" s="22">
        <v>402130.79999999993</v>
      </c>
      <c r="O6" s="1">
        <f t="shared" si="3"/>
        <v>-146930.07000000018</v>
      </c>
      <c r="P6" s="4">
        <f t="shared" si="4"/>
        <v>-0.26760251554622744</v>
      </c>
      <c r="Q6" s="21">
        <v>404899</v>
      </c>
      <c r="R6" s="21">
        <v>383260</v>
      </c>
      <c r="S6" s="1">
        <f t="shared" si="5"/>
        <v>-21639</v>
      </c>
      <c r="T6" s="1">
        <f t="shared" si="6"/>
        <v>144161.87000000011</v>
      </c>
      <c r="U6" s="1">
        <f t="shared" si="6"/>
        <v>18870.79999999993</v>
      </c>
      <c r="V6" s="4">
        <f t="shared" si="7"/>
        <v>0.26256081588913827</v>
      </c>
      <c r="W6" s="4">
        <f t="shared" si="7"/>
        <v>4.6927019765707907E-2</v>
      </c>
    </row>
    <row r="7" spans="1:23" x14ac:dyDescent="0.25">
      <c r="A7" s="3" t="s">
        <v>8</v>
      </c>
      <c r="B7" s="13">
        <v>15747</v>
      </c>
      <c r="C7" s="13">
        <v>15729</v>
      </c>
      <c r="D7" s="21">
        <v>2447616484</v>
      </c>
      <c r="E7" s="21">
        <v>2444162721</v>
      </c>
      <c r="F7" s="1">
        <f t="shared" si="0"/>
        <v>-3453763</v>
      </c>
      <c r="G7" s="4">
        <f t="shared" si="1"/>
        <v>-1.4110719643282154E-3</v>
      </c>
      <c r="H7" s="21">
        <v>200364</v>
      </c>
      <c r="I7" s="21">
        <v>201811</v>
      </c>
      <c r="J7" s="21">
        <v>272363</v>
      </c>
      <c r="K7" s="21">
        <v>272503</v>
      </c>
      <c r="L7" s="4">
        <f t="shared" si="2"/>
        <v>1.0005140198925699</v>
      </c>
      <c r="M7" s="22">
        <v>481290.70000000007</v>
      </c>
      <c r="N7" s="22">
        <v>457536.9</v>
      </c>
      <c r="O7" s="1">
        <f t="shared" si="3"/>
        <v>-23753.800000000047</v>
      </c>
      <c r="P7" s="4">
        <f t="shared" si="4"/>
        <v>-4.9354371484842827E-2</v>
      </c>
      <c r="Q7" s="21">
        <v>272363</v>
      </c>
      <c r="R7" s="21">
        <v>272503</v>
      </c>
      <c r="S7" s="1">
        <f t="shared" si="5"/>
        <v>140</v>
      </c>
      <c r="T7" s="1">
        <f t="shared" si="6"/>
        <v>208927.70000000007</v>
      </c>
      <c r="U7" s="1">
        <f t="shared" si="6"/>
        <v>185033.90000000002</v>
      </c>
      <c r="V7" s="4">
        <f t="shared" si="7"/>
        <v>0.43409876816651566</v>
      </c>
      <c r="W7" s="4">
        <f t="shared" si="7"/>
        <v>0.40441306482602829</v>
      </c>
    </row>
    <row r="8" spans="1:23" x14ac:dyDescent="0.25">
      <c r="A8" s="3" t="s">
        <v>7</v>
      </c>
      <c r="B8" s="13">
        <v>6547</v>
      </c>
      <c r="C8" s="13">
        <v>6554</v>
      </c>
      <c r="D8" s="21">
        <v>745371785</v>
      </c>
      <c r="E8" s="21">
        <v>701381122</v>
      </c>
      <c r="F8" s="1">
        <f t="shared" si="0"/>
        <v>-43990663</v>
      </c>
      <c r="G8" s="4">
        <f t="shared" si="1"/>
        <v>-5.9018417231878451E-2</v>
      </c>
      <c r="H8" s="21">
        <v>92007</v>
      </c>
      <c r="I8" s="21">
        <v>86696</v>
      </c>
      <c r="J8" s="21">
        <v>100924</v>
      </c>
      <c r="K8" s="21">
        <v>95471</v>
      </c>
      <c r="L8" s="4">
        <f t="shared" si="2"/>
        <v>0.94596924418374218</v>
      </c>
      <c r="M8" s="22">
        <v>181459.05000000002</v>
      </c>
      <c r="N8" s="22">
        <v>195785.05000000002</v>
      </c>
      <c r="O8" s="1">
        <f>N8-M8</f>
        <v>14326</v>
      </c>
      <c r="P8" s="4">
        <f t="shared" si="4"/>
        <v>7.8948941923811453E-2</v>
      </c>
      <c r="Q8" s="21">
        <v>100924</v>
      </c>
      <c r="R8" s="21">
        <v>95471</v>
      </c>
      <c r="S8" s="1">
        <f t="shared" si="5"/>
        <v>-5453</v>
      </c>
      <c r="T8" s="1">
        <f t="shared" si="6"/>
        <v>80535.050000000017</v>
      </c>
      <c r="U8" s="1">
        <f t="shared" si="6"/>
        <v>100314.05000000002</v>
      </c>
      <c r="V8" s="4">
        <f t="shared" si="7"/>
        <v>0.44381941821033455</v>
      </c>
      <c r="W8" s="4">
        <f t="shared" si="7"/>
        <v>0.512368283482319</v>
      </c>
    </row>
    <row r="9" spans="1:23" ht="16.5" x14ac:dyDescent="0.3">
      <c r="A9" s="16" t="s">
        <v>9</v>
      </c>
      <c r="B9" s="17">
        <f>SUM(B2:B8)</f>
        <v>188478</v>
      </c>
      <c r="C9" s="17">
        <f>SUM(C2:C8)</f>
        <v>188722</v>
      </c>
      <c r="D9" s="17">
        <f>SUM(D2:D8)</f>
        <v>29430342019</v>
      </c>
      <c r="E9" s="17">
        <f>SUM(E2:E8)</f>
        <v>28303813738</v>
      </c>
      <c r="F9" s="10"/>
      <c r="G9" s="11"/>
      <c r="H9" s="17">
        <f>SUM(H2:H8)</f>
        <v>2887195</v>
      </c>
      <c r="I9" s="17">
        <f>SUM(I2:I8)</f>
        <v>2779675</v>
      </c>
      <c r="J9" s="17">
        <f>SUM(J2:J8)</f>
        <v>3528736</v>
      </c>
      <c r="K9" s="17">
        <f>SUM(K2:K8)</f>
        <v>3401969</v>
      </c>
      <c r="L9" s="9"/>
      <c r="M9" s="17">
        <f>SUM(M2:M8)+269</f>
        <v>5582934.8500000006</v>
      </c>
      <c r="N9" s="17">
        <f>SUM(N2:N8)+283</f>
        <v>5577420.4800000004</v>
      </c>
      <c r="O9" s="8"/>
      <c r="P9" s="8"/>
      <c r="Q9" s="17">
        <f>SUM(Q2:Q8)+2354</f>
        <v>3531090</v>
      </c>
      <c r="R9" s="17">
        <f>SUM(R2:R8)+2654</f>
        <v>3404623</v>
      </c>
      <c r="S9" s="10"/>
      <c r="T9" s="17">
        <f>SUM(T2:T8)+2085</f>
        <v>2056014.8500000008</v>
      </c>
      <c r="U9" s="17">
        <f>SUM(U2:U8)+2371</f>
        <v>2177539.4799999995</v>
      </c>
      <c r="V9" s="20">
        <f>SUM(M9-Q9)/M9</f>
        <v>0.36752083001649222</v>
      </c>
      <c r="W9" s="20">
        <f>SUM(N9-R9)/N9</f>
        <v>0.38957031979055673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20B9-9836-4AB9-AD51-D040271D0513}">
  <dimension ref="A1:W9"/>
  <sheetViews>
    <sheetView zoomScale="77" workbookViewId="0">
      <selection activeCell="A10" sqref="A10:XFD33"/>
    </sheetView>
  </sheetViews>
  <sheetFormatPr defaultRowHeight="15.75" x14ac:dyDescent="0.25"/>
  <cols>
    <col min="1" max="1" width="11.125" bestFit="1" customWidth="1"/>
    <col min="2" max="2" width="31.75" bestFit="1" customWidth="1"/>
    <col min="3" max="3" width="42.125" bestFit="1" customWidth="1"/>
    <col min="4" max="4" width="36.875" bestFit="1" customWidth="1"/>
    <col min="5" max="5" width="39.5" bestFit="1" customWidth="1"/>
    <col min="6" max="6" width="24" bestFit="1" customWidth="1"/>
    <col min="7" max="7" width="27.875" bestFit="1" customWidth="1"/>
    <col min="8" max="8" width="36.875" bestFit="1" customWidth="1"/>
    <col min="9" max="9" width="39.5" bestFit="1" customWidth="1"/>
    <col min="10" max="10" width="36.875" bestFit="1" customWidth="1"/>
    <col min="11" max="11" width="39.5" bestFit="1" customWidth="1"/>
    <col min="12" max="12" width="25.25" bestFit="1" customWidth="1"/>
    <col min="13" max="13" width="36.875" bestFit="1" customWidth="1"/>
    <col min="14" max="14" width="39.5" bestFit="1" customWidth="1"/>
    <col min="15" max="15" width="30.5" bestFit="1" customWidth="1"/>
    <col min="16" max="16" width="44.625" bestFit="1" customWidth="1"/>
    <col min="17" max="17" width="33" bestFit="1" customWidth="1"/>
    <col min="18" max="18" width="35.625" bestFit="1" customWidth="1"/>
    <col min="19" max="19" width="25.25" bestFit="1" customWidth="1"/>
    <col min="20" max="20" width="22.75" bestFit="1" customWidth="1"/>
    <col min="21" max="21" width="25.25" bestFit="1" customWidth="1"/>
    <col min="22" max="22" width="35.625" bestFit="1" customWidth="1"/>
    <col min="23" max="23" width="39.5" bestFit="1" customWidth="1"/>
  </cols>
  <sheetData>
    <row r="1" spans="1:23" x14ac:dyDescent="0.25">
      <c r="A1" s="15" t="s">
        <v>0</v>
      </c>
      <c r="B1" s="15" t="s">
        <v>91</v>
      </c>
      <c r="C1" s="15" t="s">
        <v>92</v>
      </c>
      <c r="D1" s="15" t="s">
        <v>83</v>
      </c>
      <c r="E1" s="15" t="s">
        <v>93</v>
      </c>
      <c r="F1" s="15" t="s">
        <v>11</v>
      </c>
      <c r="G1" s="15" t="s">
        <v>12</v>
      </c>
      <c r="H1" s="15" t="s">
        <v>84</v>
      </c>
      <c r="I1" s="15" t="s">
        <v>94</v>
      </c>
      <c r="J1" s="15" t="s">
        <v>85</v>
      </c>
      <c r="K1" s="15" t="s">
        <v>95</v>
      </c>
      <c r="L1" s="15" t="s">
        <v>19</v>
      </c>
      <c r="M1" s="15" t="s">
        <v>86</v>
      </c>
      <c r="N1" s="15" t="s">
        <v>96</v>
      </c>
      <c r="O1" s="15" t="s">
        <v>22</v>
      </c>
      <c r="P1" s="15" t="s">
        <v>23</v>
      </c>
      <c r="Q1" s="15" t="s">
        <v>87</v>
      </c>
      <c r="R1" s="15" t="s">
        <v>97</v>
      </c>
      <c r="S1" s="15" t="s">
        <v>26</v>
      </c>
      <c r="T1" s="15" t="s">
        <v>88</v>
      </c>
      <c r="U1" s="15" t="s">
        <v>98</v>
      </c>
      <c r="V1" s="15" t="s">
        <v>99</v>
      </c>
      <c r="W1" s="15" t="s">
        <v>100</v>
      </c>
    </row>
    <row r="2" spans="1:23" x14ac:dyDescent="0.25">
      <c r="A2" s="3" t="s">
        <v>2</v>
      </c>
      <c r="B2" s="13">
        <v>46903</v>
      </c>
      <c r="C2" s="13">
        <v>46982</v>
      </c>
      <c r="D2" s="21">
        <f>September!D2/31</f>
        <v>256198618.70967743</v>
      </c>
      <c r="E2" s="21">
        <f>September!E2/30</f>
        <v>261523236.30000001</v>
      </c>
      <c r="F2" s="1">
        <f>E2-D2</f>
        <v>5324617.5903225839</v>
      </c>
      <c r="G2" s="4">
        <f>F2/D2</f>
        <v>2.0783162755285599E-2</v>
      </c>
      <c r="H2" s="21">
        <f>September!H2/31</f>
        <v>22732.677419354837</v>
      </c>
      <c r="I2" s="21">
        <f>September!I2/30</f>
        <v>23490.400000000001</v>
      </c>
      <c r="J2" s="21">
        <f>September!J2/31</f>
        <v>29258.870967741936</v>
      </c>
      <c r="K2" s="21">
        <f>September!K2/30</f>
        <v>30100.166666666668</v>
      </c>
      <c r="L2" s="4">
        <f>K2/J2</f>
        <v>1.0287535257205334</v>
      </c>
      <c r="M2" s="22">
        <f>September!M2/31</f>
        <v>44011.104193548395</v>
      </c>
      <c r="N2" s="22">
        <f>September!N2/30</f>
        <v>46149.998333333322</v>
      </c>
      <c r="O2" s="1">
        <f>N2-M2</f>
        <v>2138.8941397849267</v>
      </c>
      <c r="P2" s="4">
        <f>O2/M2</f>
        <v>4.859896562419054E-2</v>
      </c>
      <c r="Q2" s="21">
        <f>September!Q2/31</f>
        <v>29258.870967741936</v>
      </c>
      <c r="R2" s="21">
        <f>September!R2/30</f>
        <v>30100.166666666668</v>
      </c>
      <c r="S2" s="1">
        <f>R2-Q2</f>
        <v>841.29569892473228</v>
      </c>
      <c r="T2" s="1">
        <f>M2-Q2</f>
        <v>14752.23322580646</v>
      </c>
      <c r="U2" s="1">
        <f>N2-R2</f>
        <v>16049.831666666654</v>
      </c>
      <c r="V2" s="4">
        <f>T2/M2</f>
        <v>0.33519343575044852</v>
      </c>
      <c r="W2" s="4">
        <f>U2/N2</f>
        <v>0.34777534661521636</v>
      </c>
    </row>
    <row r="3" spans="1:23" x14ac:dyDescent="0.25">
      <c r="A3" s="3" t="s">
        <v>6</v>
      </c>
      <c r="B3" s="13">
        <v>36044</v>
      </c>
      <c r="C3" s="13">
        <v>36171</v>
      </c>
      <c r="D3" s="21">
        <f>September!D3/31</f>
        <v>191675100.45161289</v>
      </c>
      <c r="E3" s="21">
        <f>September!E3/30</f>
        <v>190635653.56666666</v>
      </c>
      <c r="F3" s="1">
        <f t="shared" ref="F3:F8" si="0">E3-D3</f>
        <v>-1039446.8849462271</v>
      </c>
      <c r="G3" s="4">
        <f t="shared" ref="G3:G8" si="1">F3/D3</f>
        <v>-5.4229625157213813E-3</v>
      </c>
      <c r="H3" s="21">
        <f>September!H3/31</f>
        <v>16903.064516129034</v>
      </c>
      <c r="I3" s="21">
        <f>September!I3/30</f>
        <v>16748.333333333332</v>
      </c>
      <c r="J3" s="21">
        <f>September!J3/31</f>
        <v>21625.903225806451</v>
      </c>
      <c r="K3" s="21">
        <f>September!K3/30</f>
        <v>21543.033333333333</v>
      </c>
      <c r="L3" s="4">
        <f t="shared" ref="L3:L8" si="2">K3/J3</f>
        <v>0.9961680262966206</v>
      </c>
      <c r="M3" s="22">
        <f>September!M3/31</f>
        <v>36827.678064516127</v>
      </c>
      <c r="N3" s="22">
        <f>September!N3/30</f>
        <v>37502.400999999998</v>
      </c>
      <c r="O3" s="1">
        <f t="shared" ref="O3:O7" si="3">N3-M3</f>
        <v>674.72293548387097</v>
      </c>
      <c r="P3" s="4">
        <f t="shared" ref="P3:P8" si="4">O3/M3</f>
        <v>1.8321082700404452E-2</v>
      </c>
      <c r="Q3" s="21">
        <f>September!Q3/31</f>
        <v>21625.903225806451</v>
      </c>
      <c r="R3" s="21">
        <f>September!R3/30</f>
        <v>21543.033333333333</v>
      </c>
      <c r="S3" s="1">
        <f t="shared" ref="S3:S8" si="5">R3-Q3</f>
        <v>-82.869892473117943</v>
      </c>
      <c r="T3" s="1">
        <f t="shared" ref="T3:T8" si="6">M3-Q3</f>
        <v>15201.774838709676</v>
      </c>
      <c r="U3" s="1">
        <f t="shared" ref="U3:U8" si="7">N3-R3</f>
        <v>15959.367666666665</v>
      </c>
      <c r="V3" s="4">
        <f t="shared" ref="V3:V8" si="8">T3/M3</f>
        <v>0.41278124599869231</v>
      </c>
      <c r="W3" s="4">
        <f t="shared" ref="W3:W8" si="9">U3/N3</f>
        <v>0.42555589085260609</v>
      </c>
    </row>
    <row r="4" spans="1:23" x14ac:dyDescent="0.25">
      <c r="A4" s="3" t="s">
        <v>5</v>
      </c>
      <c r="B4" s="13">
        <v>33684</v>
      </c>
      <c r="C4" s="13">
        <v>33699</v>
      </c>
      <c r="D4" s="21">
        <f>September!D4/31</f>
        <v>155564318.41935483</v>
      </c>
      <c r="E4" s="21">
        <f>September!E4/30</f>
        <v>148119329.73333332</v>
      </c>
      <c r="F4" s="1">
        <f t="shared" si="0"/>
        <v>-7444988.6860215068</v>
      </c>
      <c r="G4" s="4">
        <f t="shared" si="1"/>
        <v>-4.7857945585902589E-2</v>
      </c>
      <c r="H4" s="21">
        <f>September!H4/31</f>
        <v>18872.16129032258</v>
      </c>
      <c r="I4" s="21">
        <f>September!I4/30</f>
        <v>18177.099999999999</v>
      </c>
      <c r="J4" s="21">
        <f>September!J4/31</f>
        <v>21253.451612903227</v>
      </c>
      <c r="K4" s="21">
        <f>September!K4/30</f>
        <v>20452.3</v>
      </c>
      <c r="L4" s="4">
        <f t="shared" si="2"/>
        <v>0.96230487040435164</v>
      </c>
      <c r="M4" s="22">
        <f>September!M4/31</f>
        <v>34705.418709677426</v>
      </c>
      <c r="N4" s="22">
        <f>September!N4/30</f>
        <v>36576.411666666674</v>
      </c>
      <c r="O4" s="1">
        <f t="shared" si="3"/>
        <v>1870.9929569892483</v>
      </c>
      <c r="P4" s="4">
        <f t="shared" si="4"/>
        <v>5.391068676164773E-2</v>
      </c>
      <c r="Q4" s="21">
        <f>September!Q4/31</f>
        <v>21253.451612903227</v>
      </c>
      <c r="R4" s="21">
        <f>September!R4/30</f>
        <v>20452.3</v>
      </c>
      <c r="S4" s="1">
        <f t="shared" si="5"/>
        <v>-801.15161290322794</v>
      </c>
      <c r="T4" s="1">
        <f t="shared" si="6"/>
        <v>13451.967096774199</v>
      </c>
      <c r="U4" s="1">
        <f t="shared" si="7"/>
        <v>16124.111666666675</v>
      </c>
      <c r="V4" s="4">
        <f t="shared" si="8"/>
        <v>0.3876042300282978</v>
      </c>
      <c r="W4" s="4">
        <f t="shared" si="9"/>
        <v>0.44083361193578008</v>
      </c>
    </row>
    <row r="5" spans="1:23" x14ac:dyDescent="0.25">
      <c r="A5" s="3" t="s">
        <v>3</v>
      </c>
      <c r="B5" s="13">
        <v>28286</v>
      </c>
      <c r="C5" s="13">
        <v>28308</v>
      </c>
      <c r="D5" s="21">
        <f>September!D5/31</f>
        <v>137874573.6451613</v>
      </c>
      <c r="E5" s="21">
        <f>September!E5/30</f>
        <v>135556052.33333334</v>
      </c>
      <c r="F5" s="1">
        <f t="shared" si="0"/>
        <v>-2318521.3118279576</v>
      </c>
      <c r="G5" s="4">
        <f t="shared" si="1"/>
        <v>-1.6816163056975125E-2</v>
      </c>
      <c r="H5" s="21">
        <f>September!H5/31</f>
        <v>13893.032258064517</v>
      </c>
      <c r="I5" s="21">
        <f>September!I5/30</f>
        <v>13646.333333333334</v>
      </c>
      <c r="J5" s="21">
        <f>September!J5/31</f>
        <v>16589.193548387098</v>
      </c>
      <c r="K5" s="21">
        <f>September!K5/30</f>
        <v>16262.333333333334</v>
      </c>
      <c r="L5" s="4">
        <f t="shared" si="2"/>
        <v>0.98029679899144084</v>
      </c>
      <c r="M5" s="22">
        <f>September!M5/31</f>
        <v>25451.129032258064</v>
      </c>
      <c r="N5" s="22">
        <f>September!N5/30</f>
        <v>30494.013333333332</v>
      </c>
      <c r="O5" s="1">
        <f t="shared" si="3"/>
        <v>5042.884301075268</v>
      </c>
      <c r="P5" s="4">
        <f t="shared" si="4"/>
        <v>0.1981399054903874</v>
      </c>
      <c r="Q5" s="21">
        <f>September!Q5/31</f>
        <v>16589.193548387098</v>
      </c>
      <c r="R5" s="21">
        <f>September!R5/30</f>
        <v>16262.333333333334</v>
      </c>
      <c r="S5" s="1">
        <f t="shared" si="5"/>
        <v>-326.86021505376448</v>
      </c>
      <c r="T5" s="1">
        <f t="shared" si="6"/>
        <v>8861.935483870966</v>
      </c>
      <c r="U5" s="1">
        <f t="shared" si="7"/>
        <v>14231.679999999998</v>
      </c>
      <c r="V5" s="4">
        <f t="shared" si="8"/>
        <v>0.34819419887577069</v>
      </c>
      <c r="W5" s="4">
        <f t="shared" si="9"/>
        <v>0.46670406562861955</v>
      </c>
    </row>
    <row r="6" spans="1:23" x14ac:dyDescent="0.25">
      <c r="A6" s="3" t="s">
        <v>4</v>
      </c>
      <c r="B6" s="13">
        <v>21267</v>
      </c>
      <c r="C6" s="13">
        <v>21279</v>
      </c>
      <c r="D6" s="21">
        <f>September!D6/31</f>
        <v>105053638.77419356</v>
      </c>
      <c r="E6" s="21">
        <f>September!E6/30</f>
        <v>102774724.56666666</v>
      </c>
      <c r="F6" s="1">
        <f t="shared" si="0"/>
        <v>-2278914.2075268924</v>
      </c>
      <c r="G6" s="4">
        <f t="shared" si="1"/>
        <v>-2.1692863132759074E-2</v>
      </c>
      <c r="H6" s="21">
        <f>September!H6/31</f>
        <v>11303.064516129032</v>
      </c>
      <c r="I6" s="21">
        <f>September!I6/30</f>
        <v>10976.766666666666</v>
      </c>
      <c r="J6" s="21">
        <f>September!J6/31</f>
        <v>13061.258064516129</v>
      </c>
      <c r="K6" s="21">
        <f>September!K6/30</f>
        <v>12775.333333333334</v>
      </c>
      <c r="L6" s="4">
        <f t="shared" si="2"/>
        <v>0.97810894404118898</v>
      </c>
      <c r="M6" s="22">
        <f>September!M6/31</f>
        <v>17711.64096774194</v>
      </c>
      <c r="N6" s="22">
        <f>September!N6/30</f>
        <v>13404.359999999997</v>
      </c>
      <c r="O6" s="1">
        <f t="shared" si="3"/>
        <v>-4307.2809677419427</v>
      </c>
      <c r="P6" s="4">
        <f t="shared" si="4"/>
        <v>-0.24318926606443506</v>
      </c>
      <c r="Q6" s="21">
        <f>September!Q6/31</f>
        <v>13061.258064516129</v>
      </c>
      <c r="R6" s="21">
        <f>September!R6/30</f>
        <v>12775.333333333334</v>
      </c>
      <c r="S6" s="1">
        <f t="shared" si="5"/>
        <v>-285.92473118279486</v>
      </c>
      <c r="T6" s="1">
        <f t="shared" si="6"/>
        <v>4650.3829032258109</v>
      </c>
      <c r="U6" s="1">
        <f t="shared" si="7"/>
        <v>629.026666666663</v>
      </c>
      <c r="V6" s="4">
        <f t="shared" si="8"/>
        <v>0.26256081588913832</v>
      </c>
      <c r="W6" s="4">
        <f t="shared" si="9"/>
        <v>4.692701976570781E-2</v>
      </c>
    </row>
    <row r="7" spans="1:23" x14ac:dyDescent="0.25">
      <c r="A7" s="3" t="s">
        <v>8</v>
      </c>
      <c r="B7" s="13">
        <v>15747</v>
      </c>
      <c r="C7" s="13">
        <v>15729</v>
      </c>
      <c r="D7" s="21">
        <f>September!D7/31</f>
        <v>78955370.451612905</v>
      </c>
      <c r="E7" s="21">
        <f>September!E7/30</f>
        <v>81472090.700000003</v>
      </c>
      <c r="F7" s="1">
        <f t="shared" si="0"/>
        <v>2516720.2483870983</v>
      </c>
      <c r="G7" s="4">
        <f t="shared" si="1"/>
        <v>3.1875225636860863E-2</v>
      </c>
      <c r="H7" s="21">
        <f>September!H7/31</f>
        <v>6463.3548387096771</v>
      </c>
      <c r="I7" s="21">
        <f>September!I7/30</f>
        <v>6727.0333333333338</v>
      </c>
      <c r="J7" s="21">
        <f>September!J7/31</f>
        <v>8785.9032258064508</v>
      </c>
      <c r="K7" s="21">
        <f>September!K7/30</f>
        <v>9083.4333333333325</v>
      </c>
      <c r="L7" s="4">
        <f t="shared" si="2"/>
        <v>1.0338644872223222</v>
      </c>
      <c r="M7" s="22">
        <f>September!M7/31</f>
        <v>15525.506451612906</v>
      </c>
      <c r="N7" s="22">
        <f>September!N7/30</f>
        <v>15251.230000000001</v>
      </c>
      <c r="O7" s="1">
        <f t="shared" si="3"/>
        <v>-274.27645161290457</v>
      </c>
      <c r="P7" s="4">
        <f t="shared" si="4"/>
        <v>-1.7666183867670909E-2</v>
      </c>
      <c r="Q7" s="21">
        <f>September!Q7/31</f>
        <v>8785.9032258064508</v>
      </c>
      <c r="R7" s="21">
        <f>September!R7/30</f>
        <v>9083.4333333333325</v>
      </c>
      <c r="S7" s="1">
        <f t="shared" si="5"/>
        <v>297.53010752688169</v>
      </c>
      <c r="T7" s="1">
        <f t="shared" si="6"/>
        <v>6739.6032258064552</v>
      </c>
      <c r="U7" s="1">
        <f t="shared" si="7"/>
        <v>6167.7966666666689</v>
      </c>
      <c r="V7" s="4">
        <f t="shared" si="8"/>
        <v>0.43409876816651571</v>
      </c>
      <c r="W7" s="4">
        <f t="shared" si="9"/>
        <v>0.40441306482602835</v>
      </c>
    </row>
    <row r="8" spans="1:23" x14ac:dyDescent="0.25">
      <c r="A8" s="3" t="s">
        <v>7</v>
      </c>
      <c r="B8" s="13">
        <v>6547</v>
      </c>
      <c r="C8" s="13">
        <v>6554</v>
      </c>
      <c r="D8" s="21">
        <f>September!D8/31</f>
        <v>24044251.129032258</v>
      </c>
      <c r="E8" s="21">
        <f>September!E8/30</f>
        <v>23379370.733333334</v>
      </c>
      <c r="F8" s="1">
        <f t="shared" si="0"/>
        <v>-664880.39569892362</v>
      </c>
      <c r="G8" s="4">
        <f t="shared" si="1"/>
        <v>-2.7652364472941018E-2</v>
      </c>
      <c r="H8" s="21">
        <f>September!H8/31</f>
        <v>2967.9677419354839</v>
      </c>
      <c r="I8" s="21">
        <f>September!I8/30</f>
        <v>2889.8666666666668</v>
      </c>
      <c r="J8" s="21">
        <f>September!J8/31</f>
        <v>3255.6129032258063</v>
      </c>
      <c r="K8" s="21">
        <f>September!K8/30</f>
        <v>3182.3666666666668</v>
      </c>
      <c r="L8" s="4">
        <f t="shared" si="2"/>
        <v>0.97750155232320035</v>
      </c>
      <c r="M8" s="22">
        <f>September!M8/31</f>
        <v>5853.5177419354841</v>
      </c>
      <c r="N8" s="22">
        <f>September!N8/30</f>
        <v>6526.168333333334</v>
      </c>
      <c r="O8" s="1">
        <f>N8-M8</f>
        <v>672.65059139784989</v>
      </c>
      <c r="P8" s="4">
        <f t="shared" si="4"/>
        <v>0.11491390665460524</v>
      </c>
      <c r="Q8" s="21">
        <f>September!Q8/31</f>
        <v>3255.6129032258063</v>
      </c>
      <c r="R8" s="21">
        <f>September!R8/30</f>
        <v>3182.3666666666668</v>
      </c>
      <c r="S8" s="1">
        <f t="shared" si="5"/>
        <v>-73.246236559139561</v>
      </c>
      <c r="T8" s="1">
        <f t="shared" si="6"/>
        <v>2597.9048387096777</v>
      </c>
      <c r="U8" s="1">
        <f t="shared" si="7"/>
        <v>3343.8016666666672</v>
      </c>
      <c r="V8" s="4">
        <f t="shared" si="8"/>
        <v>0.44381941821033455</v>
      </c>
      <c r="W8" s="4">
        <f t="shared" si="9"/>
        <v>0.512368283482319</v>
      </c>
    </row>
    <row r="9" spans="1:23" ht="16.5" x14ac:dyDescent="0.3">
      <c r="A9" s="16" t="s">
        <v>9</v>
      </c>
      <c r="B9" s="17">
        <f>SUM(B2:B8)</f>
        <v>188478</v>
      </c>
      <c r="C9" s="17">
        <f>SUM(C2:C8)</f>
        <v>188722</v>
      </c>
      <c r="D9" s="17">
        <f>SUM(D2:D8)</f>
        <v>949365871.58064508</v>
      </c>
      <c r="E9" s="17">
        <f>SUM(E2:E8)</f>
        <v>943460457.9333334</v>
      </c>
      <c r="F9" s="10"/>
      <c r="G9" s="11"/>
      <c r="H9" s="17">
        <f>SUM(H2:H8)</f>
        <v>93135.322580645166</v>
      </c>
      <c r="I9" s="17">
        <f>SUM(I2:I8)</f>
        <v>92655.833333333343</v>
      </c>
      <c r="J9" s="17">
        <f>SUM(J2:J8)</f>
        <v>113830.19354838708</v>
      </c>
      <c r="K9" s="17">
        <f>SUM(K2:K8)</f>
        <v>113398.96666666666</v>
      </c>
      <c r="L9" s="9"/>
      <c r="M9" s="17">
        <f>SUM(M2:M8)+269</f>
        <v>180354.99516129031</v>
      </c>
      <c r="N9" s="17">
        <f>SUM(N2:N8)+283</f>
        <v>186187.58266666665</v>
      </c>
      <c r="O9" s="8"/>
      <c r="P9" s="8"/>
      <c r="Q9" s="17">
        <f>SUM(Q2:Q8)+2354</f>
        <v>116184.19354838708</v>
      </c>
      <c r="R9" s="17">
        <f>SUM(R2:R8)+2654</f>
        <v>116052.96666666666</v>
      </c>
      <c r="S9" s="10"/>
      <c r="T9" s="17">
        <f>SUM(T2:T8)+2085</f>
        <v>68340.801612903248</v>
      </c>
      <c r="U9" s="17">
        <f>SUM(U2:U8)+2371</f>
        <v>74876.615999999995</v>
      </c>
      <c r="V9" s="20">
        <f>SUM(M9-Q9)/M9</f>
        <v>0.35580274089728259</v>
      </c>
      <c r="W9" s="20">
        <f>SUM(N9-R9)/N9</f>
        <v>0.3766879347994041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1214926-2707-49E8-9175-3B5BB3190AC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442AA06-3872-4649-A3C0-DEFE8295A3C6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45ED216A-89AB-4544-BBA6-84BB05D8951C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Januari</vt:lpstr>
      <vt:lpstr>Januari Per Hari</vt:lpstr>
      <vt:lpstr>Februari</vt:lpstr>
      <vt:lpstr>Februari Per Hari </vt:lpstr>
      <vt:lpstr>Maret</vt:lpstr>
      <vt:lpstr>Maret Per Hari</vt:lpstr>
      <vt:lpstr>April</vt:lpstr>
      <vt:lpstr>April Per Hari</vt:lpstr>
      <vt:lpstr>Mei</vt:lpstr>
      <vt:lpstr>Mei Per Hari</vt:lpstr>
      <vt:lpstr>Juni</vt:lpstr>
      <vt:lpstr>Juni Per Hari</vt:lpstr>
      <vt:lpstr>Juli</vt:lpstr>
      <vt:lpstr>Juli Per Hari</vt:lpstr>
      <vt:lpstr>Agustus</vt:lpstr>
      <vt:lpstr>Agustus Per Hari</vt:lpstr>
      <vt:lpstr>September</vt:lpstr>
      <vt:lpstr>September Per Hari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Ferry Wicaksono</dc:creator>
  <cp:lastModifiedBy>Ferry Wicaksono</cp:lastModifiedBy>
  <dcterms:created xsi:type="dcterms:W3CDTF">2025-10-30T13:02:47Z</dcterms:created>
  <dcterms:modified xsi:type="dcterms:W3CDTF">2025-11-12T01:15:07Z</dcterms:modified>
</cp:coreProperties>
</file>